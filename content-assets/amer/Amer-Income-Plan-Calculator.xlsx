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;(#,##0)"/>
  </numFmts>
  <fonts count="16">
    <font>
      <name val="Calibri"/>
      <family val="2"/>
      <color theme="1"/>
      <sz val="11"/>
      <scheme val="minor"/>
    </font>
    <font>
      <name val="Palatino Linotype"/>
      <b val="1"/>
      <color rgb="001E3D2F"/>
      <sz val="16"/>
    </font>
    <font>
      <name val="Calibri"/>
      <i val="1"/>
      <color rgb="00666666"/>
      <sz val="11"/>
    </font>
    <font>
      <name val="Calibri"/>
      <b val="1"/>
      <color rgb="00C9A84C"/>
      <sz val="11"/>
    </font>
    <font>
      <name val="Calibri"/>
      <sz val="11"/>
    </font>
    <font>
      <name val="Calibri"/>
      <color rgb="000000FF"/>
      <sz val="11"/>
    </font>
    <font>
      <name val="Calibri"/>
      <i val="1"/>
      <color rgb="00666666"/>
      <sz val="8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sz val="9"/>
    </font>
    <font>
      <name val="Calibri"/>
      <sz val="10"/>
    </font>
    <font>
      <name val="Calibri"/>
      <color rgb="00666666"/>
      <sz val="8"/>
    </font>
    <font>
      <name val="Calibri"/>
      <sz val="9"/>
    </font>
    <font>
      <name val="Calibri"/>
      <b val="1"/>
      <sz val="10"/>
    </font>
    <font>
      <name val="Calibri"/>
      <b val="1"/>
      <color rgb="007A6018"/>
      <sz val="11"/>
    </font>
    <font>
      <name val="Calibri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E3D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4BB"/>
      </left>
      <right style="thin">
        <color rgb="00B7C4BB"/>
      </right>
      <top style="thin">
        <color rgb="00B7C4BB"/>
      </top>
      <bottom style="thin">
        <color rgb="00B7C4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7" fillId="0" borderId="1" applyAlignment="1" pivotButton="0" quotePrefix="0" xfId="0">
      <alignment horizontal="center"/>
    </xf>
    <xf numFmtId="165" fontId="5" fillId="3" borderId="1" pivotButton="0" quotePrefix="0" xfId="0"/>
    <xf numFmtId="1" fontId="4" fillId="0" borderId="1" applyAlignment="1" pivotButton="0" quotePrefix="0" xfId="0">
      <alignment horizontal="center"/>
    </xf>
    <xf numFmtId="3" fontId="5" fillId="3" borderId="1" pivotButton="0" quotePrefix="0" xfId="0"/>
    <xf numFmtId="3" fontId="4" fillId="0" borderId="1" pivotButton="0" quotePrefix="0" xfId="0"/>
    <xf numFmtId="1" fontId="5" fillId="3" borderId="1" pivotButton="0" quotePrefix="0" xfId="0"/>
    <xf numFmtId="0" fontId="5" fillId="3" borderId="1" pivotButton="0" quotePrefix="0" xfId="0"/>
    <xf numFmtId="165" fontId="4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5" fillId="3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9" fillId="0" borderId="1" applyAlignment="1" pivotButton="0" quotePrefix="0" xfId="0">
      <alignment horizontal="center"/>
    </xf>
    <xf numFmtId="0" fontId="10" fillId="0" borderId="1" pivotButton="0" quotePrefix="0" xfId="0"/>
    <xf numFmtId="1" fontId="5" fillId="3" borderId="1" applyAlignment="1" pivotButton="0" quotePrefix="0" xfId="0">
      <alignment horizontal="center"/>
    </xf>
    <xf numFmtId="0" fontId="11" fillId="0" borderId="1" pivotButton="0" quotePrefix="0" xfId="0"/>
    <xf numFmtId="1" fontId="7" fillId="0" borderId="1" applyAlignment="1" pivotButton="0" quotePrefix="0" xfId="0">
      <alignment horizontal="center"/>
    </xf>
    <xf numFmtId="0" fontId="12" fillId="0" borderId="0" pivotButton="0" quotePrefix="0" xfId="0"/>
    <xf numFmtId="3" fontId="12" fillId="0" borderId="0" pivotButton="0" quotePrefix="0" xfId="0"/>
    <xf numFmtId="0" fontId="7" fillId="0" borderId="0" pivotButton="0" quotePrefix="0" xfId="0"/>
    <xf numFmtId="3" fontId="13" fillId="0" borderId="0" pivotButton="0" quotePrefix="0" xfId="0"/>
    <xf numFmtId="166" fontId="10" fillId="0" borderId="0" pivotButton="0" quotePrefix="0" xfId="0"/>
    <xf numFmtId="3" fontId="10" fillId="0" borderId="0" pivotButton="0" quotePrefix="0" xfId="0"/>
    <xf numFmtId="0" fontId="10" fillId="0" borderId="0" applyAlignment="1" pivotButton="0" quotePrefix="0" xfId="0">
      <alignment horizontal="center"/>
    </xf>
    <xf numFmtId="3" fontId="14" fillId="3" borderId="1" pivotButton="0" quotePrefix="0" xfId="0"/>
    <xf numFmtId="1" fontId="14" fillId="3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3E4B5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40" customWidth="1" min="15" max="15"/>
  </cols>
  <sheetData>
    <row r="1">
      <c r="A1" s="1" t="inlineStr">
        <is>
          <t>AMER  -  THE INCOME PLAN CALCULATOR</t>
        </is>
      </c>
    </row>
    <row r="2">
      <c r="A2" s="2" t="inlineStr">
        <is>
          <t>Goal: D1.5-2.0M net rental income per year by 2036 (D = AED). Edit yellow cells only. Blue = input, black = formula.</t>
        </is>
      </c>
    </row>
    <row r="4">
      <c r="A4" s="3" t="inlineStr">
        <is>
          <t>INPUTS</t>
        </is>
      </c>
      <c r="F4" s="3" t="inlineStr">
        <is>
          <t>CASH IN FROM AMER (GBP '000 per year)</t>
        </is>
      </c>
    </row>
    <row r="5">
      <c r="A5" s="4" t="inlineStr">
        <is>
          <t>AED per GBP</t>
        </is>
      </c>
      <c r="B5" s="5" t="n">
        <v>5</v>
      </c>
      <c r="F5" s="6" t="inlineStr">
        <is>
          <t>Year</t>
        </is>
      </c>
      <c r="G5" s="6" t="inlineStr">
        <is>
          <t>A</t>
        </is>
      </c>
      <c r="H5" s="6" t="inlineStr">
        <is>
          <t>B</t>
        </is>
      </c>
      <c r="I5" s="6" t="inlineStr">
        <is>
          <t>C</t>
        </is>
      </c>
      <c r="J5" s="6" t="inlineStr">
        <is>
          <t>Selected (D)</t>
        </is>
      </c>
    </row>
    <row r="6">
      <c r="A6" s="4" t="inlineStr">
        <is>
          <t>Appreciation % per yr (from 2027)</t>
        </is>
      </c>
      <c r="B6" s="7" t="n">
        <v>0.06</v>
      </c>
      <c r="F6" s="8" t="n">
        <v>2026</v>
      </c>
      <c r="G6" s="9" t="n">
        <v>500</v>
      </c>
      <c r="H6" s="9" t="n">
        <v>300</v>
      </c>
      <c r="I6" s="9" t="n">
        <v>100</v>
      </c>
      <c r="J6" s="10">
        <f>INDEX(G6:I6,MATCH($B$13,$G$5:$I$5,0))*$B$5*1000</f>
        <v/>
      </c>
    </row>
    <row r="7">
      <c r="A7" s="4" t="inlineStr">
        <is>
          <t>Airbnb net yield (% of value)</t>
        </is>
      </c>
      <c r="B7" s="7" t="n">
        <v>0.1</v>
      </c>
      <c r="F7" s="8" t="n">
        <v>2027</v>
      </c>
      <c r="G7" s="9" t="n">
        <v>100</v>
      </c>
      <c r="H7" s="9" t="n">
        <v>200</v>
      </c>
      <c r="I7" s="9" t="n">
        <v>100</v>
      </c>
      <c r="J7" s="10">
        <f>INDEX(G7:I7,MATCH($B$13,$G$5:$I$5,0))*$B$5*1000</f>
        <v/>
      </c>
    </row>
    <row r="8">
      <c r="A8" s="4" t="inlineStr">
        <is>
          <t>Long-let net yield (% of value)</t>
        </is>
      </c>
      <c r="B8" s="7" t="n">
        <v>0.05</v>
      </c>
      <c r="F8" s="8" t="n">
        <v>2028</v>
      </c>
      <c r="G8" s="9" t="n">
        <v>100</v>
      </c>
      <c r="H8" s="9" t="n">
        <v>200</v>
      </c>
      <c r="I8" s="9" t="n">
        <v>100</v>
      </c>
      <c r="J8" s="10">
        <f>INDEX(G8:I8,MATCH($B$13,$G$5:$I$5,0))*$B$5*1000</f>
        <v/>
      </c>
    </row>
    <row r="9">
      <c r="A9" s="4" t="inlineStr">
        <is>
          <t>Flip: avg cash paid-in %</t>
        </is>
      </c>
      <c r="B9" s="7" t="n">
        <v>0.35</v>
      </c>
      <c r="F9" s="8" t="n">
        <v>2029</v>
      </c>
      <c r="G9" s="9" t="n">
        <v>100</v>
      </c>
      <c r="H9" s="9" t="n">
        <v>200</v>
      </c>
      <c r="I9" s="9" t="n">
        <v>100</v>
      </c>
      <c r="J9" s="10">
        <f>INDEX(G9:I9,MATCH($B$13,$G$5:$I$5,0))*$B$5*1000</f>
        <v/>
      </c>
    </row>
    <row r="10">
      <c r="A10" s="4" t="inlineStr">
        <is>
          <t>Flip: selling cost %</t>
        </is>
      </c>
      <c r="B10" s="7" t="n">
        <v>0.02</v>
      </c>
      <c r="F10" s="8" t="n">
        <v>2030</v>
      </c>
      <c r="G10" s="9" t="n">
        <v>0</v>
      </c>
      <c r="H10" s="9" t="n">
        <v>0</v>
      </c>
      <c r="I10" s="9" t="n">
        <v>100</v>
      </c>
      <c r="J10" s="10">
        <f>INDEX(G10:I10,MATCH($B$13,$G$5:$I$5,0))*$B$5*1000</f>
        <v/>
      </c>
    </row>
    <row r="11">
      <c r="A11" s="4" t="inlineStr">
        <is>
          <t>Flip: cycle length (yrs)</t>
        </is>
      </c>
      <c r="B11" s="11" t="n">
        <v>3</v>
      </c>
      <c r="F11" s="8" t="n">
        <v>2031</v>
      </c>
      <c r="G11" s="9" t="n">
        <v>0</v>
      </c>
      <c r="H11" s="9" t="n">
        <v>0</v>
      </c>
      <c r="I11" s="9" t="n">
        <v>100</v>
      </c>
      <c r="J11" s="10">
        <f>INDEX(G11:I11,MATCH($B$13,$G$5:$I$5,0))*$B$5*1000</f>
        <v/>
      </c>
    </row>
    <row r="12">
      <c r="A12" s="4" t="inlineStr">
        <is>
          <t>Target net income (D per yr)</t>
        </is>
      </c>
      <c r="B12" s="9" t="n">
        <v>2000000</v>
      </c>
      <c r="F12" s="8" t="n">
        <v>2032</v>
      </c>
      <c r="G12" s="9" t="n">
        <v>0</v>
      </c>
      <c r="H12" s="9" t="n">
        <v>0</v>
      </c>
      <c r="I12" s="9" t="n">
        <v>100</v>
      </c>
      <c r="J12" s="10">
        <f>INDEX(G12:I12,MATCH($B$13,$G$5:$I$5,0))*$B$5*1000</f>
        <v/>
      </c>
    </row>
    <row r="13">
      <c r="A13" s="4" t="inlineStr">
        <is>
          <t>Scenario (A / B / C)</t>
        </is>
      </c>
      <c r="B13" s="12" t="inlineStr">
        <is>
          <t>A</t>
        </is>
      </c>
      <c r="F13" s="8" t="n">
        <v>2033</v>
      </c>
      <c r="G13" s="9" t="n">
        <v>0</v>
      </c>
      <c r="H13" s="9" t="n">
        <v>0</v>
      </c>
      <c r="I13" s="9" t="n">
        <v>100</v>
      </c>
      <c r="J13" s="10">
        <f>INDEX(G13:I13,MATCH($B$13,$G$5:$I$5,0))*$B$5*1000</f>
        <v/>
      </c>
    </row>
    <row r="14">
      <c r="A14" s="4" t="inlineStr">
        <is>
          <t>Flip ROE per cycle (calculated)</t>
        </is>
      </c>
      <c r="B14" s="13">
        <f>((1+B6)^B11-1-B10)/B9</f>
        <v/>
      </c>
      <c r="F14" s="8" t="n">
        <v>2034</v>
      </c>
      <c r="G14" s="9" t="n">
        <v>0</v>
      </c>
      <c r="H14" s="9" t="n">
        <v>0</v>
      </c>
      <c r="I14" s="9" t="n">
        <v>100</v>
      </c>
      <c r="J14" s="10">
        <f>INDEX(G14:I14,MATCH($B$13,$G$5:$I$5,0))*$B$5*1000</f>
        <v/>
      </c>
    </row>
    <row r="15">
      <c r="A15" s="4" t="inlineStr">
        <is>
          <t>P3 mortgage service (D per yr)</t>
        </is>
      </c>
      <c r="B15" s="9" t="n">
        <v>160000</v>
      </c>
      <c r="F15" s="8" t="n">
        <v>2035</v>
      </c>
      <c r="G15" s="9" t="n">
        <v>0</v>
      </c>
      <c r="H15" s="9" t="n">
        <v>0</v>
      </c>
      <c r="I15" s="9" t="n">
        <v>100</v>
      </c>
      <c r="J15" s="10">
        <f>INDEX(G15:I15,MATCH($B$13,$G$5:$I$5,0))*$B$5*1000</f>
        <v/>
      </c>
    </row>
    <row r="16">
      <c r="A16" s="4" t="inlineStr">
        <is>
          <t>P3 mortgage service last year</t>
        </is>
      </c>
      <c r="B16" s="11" t="n">
        <v>2036</v>
      </c>
      <c r="F16" s="14" t="inlineStr">
        <is>
          <t>Total</t>
        </is>
      </c>
      <c r="G16" s="15">
        <f>SUM(G6:G15)</f>
        <v/>
      </c>
      <c r="H16" s="15">
        <f>SUM(H6:H15)</f>
        <v/>
      </c>
      <c r="I16" s="15">
        <f>SUM(I6:I15)</f>
        <v/>
      </c>
      <c r="J16" s="15">
        <f>SUM(J6:J15)</f>
        <v/>
      </c>
    </row>
    <row r="17">
      <c r="A17" s="4" t="inlineStr">
        <is>
          <t>Use P3 mortgage (Y / N)</t>
        </is>
      </c>
      <c r="B17" s="16" t="inlineStr">
        <is>
          <t>Y</t>
        </is>
      </c>
      <c r="F17" s="17" t="inlineStr">
        <is>
          <t>Option C underfunds this plan (pot goes red below). To see an honest C: shrink P3 to ~D3M and push flip buy years later.</t>
        </is>
      </c>
    </row>
    <row r="18">
      <c r="A18" s="18" t="inlineStr">
        <is>
          <t>Y: 60% handover balance (D2.4M) mortgaged, service above, principal cleared in the year at B16. N: 60% paid in cash at 2030 - then P4 ~2033, P5 ~2036 keeps the pot green. Terra/Athlon instalments (~D2.0M to 2029, est. 20% paid) are committed spend outside this model.</t>
        </is>
      </c>
    </row>
    <row r="19">
      <c r="A19" s="3" t="inlineStr">
        <is>
          <t>THE POSITIONS  (edit prices and years - the plan recalculates)</t>
        </is>
      </c>
    </row>
    <row r="20">
      <c r="A20" s="19" t="inlineStr">
        <is>
          <t>Position</t>
        </is>
      </c>
      <c r="B20" s="19" t="inlineStr">
        <is>
          <t>Role</t>
        </is>
      </c>
      <c r="C20" s="19" t="inlineStr">
        <is>
          <t>Price D</t>
        </is>
      </c>
      <c r="D20" s="19" t="inlineStr">
        <is>
          <t>Buy yr</t>
        </is>
      </c>
      <c r="E20" s="19" t="inlineStr">
        <is>
          <t>Income from</t>
        </is>
      </c>
      <c r="F20" s="19" t="inlineStr">
        <is>
          <t>Exit yr (flips)</t>
        </is>
      </c>
      <c r="G20" s="19" t="inlineStr">
        <is>
          <t>Value at start/exit D</t>
        </is>
      </c>
      <c r="H20" s="19" t="inlineStr">
        <is>
          <t>Net income at start D/yr</t>
        </is>
      </c>
      <c r="I20" s="19" t="inlineStr">
        <is>
          <t>Cash back at exit D</t>
        </is>
      </c>
      <c r="J20" s="19" t="inlineStr">
        <is>
          <t>New cash to deploy D</t>
        </is>
      </c>
      <c r="K20" s="19" t="inlineStr">
        <is>
          <t>Deploy until (yr)</t>
        </is>
      </c>
      <c r="L20" s="19" t="inlineStr">
        <is>
          <t>Value 2036 D</t>
        </is>
      </c>
      <c r="M20" s="19" t="inlineStr">
        <is>
          <t>Income 2036 D</t>
        </is>
      </c>
      <c r="N20" s="19" t="inlineStr">
        <is>
          <t>Svc chg D/yr</t>
        </is>
      </c>
      <c r="O20" s="19" t="inlineStr">
        <is>
          <t>Notes</t>
        </is>
      </c>
    </row>
    <row r="21">
      <c r="A21" s="20" t="inlineStr">
        <is>
          <t>Terra Gardens 1-bed (owned)</t>
        </is>
      </c>
      <c r="B21" s="16" t="inlineStr">
        <is>
          <t>Airbnb</t>
        </is>
      </c>
      <c r="C21" s="9" t="n">
        <v>1640000</v>
      </c>
      <c r="D21" s="21" t="n">
        <v>2025</v>
      </c>
      <c r="E21" s="21" t="n">
        <v>2030</v>
      </c>
      <c r="F21" s="21" t="inlineStr"/>
      <c r="G21" s="10">
        <f>IF($F21&lt;&gt;"",$C21*(1+$B$6)^($F21-MAX($D21,2026)),IF($E21&lt;&gt;"",$C21*(1+$B$6)^($E21-MAX($D21,2026)),0))</f>
        <v/>
      </c>
      <c r="H21" s="10">
        <f>IF($E21="",0,IF($B21="Airbnb",$B$7,IF($B21="Long-let",$B$8,0))*$G21-$N21)</f>
        <v/>
      </c>
      <c r="I21" s="10">
        <f>IF($F21="",0,$C21*$B$9+$G21-$C21-$B$10*$G21)</f>
        <v/>
      </c>
      <c r="J21" s="10" t="n">
        <v>0</v>
      </c>
      <c r="K21" s="8">
        <f>D21+1</f>
        <v/>
      </c>
      <c r="L21" s="10">
        <f>IF($F21&lt;&gt;"",0,$C21*(1+$B$6)^(2036-MAX($D21,2026)))</f>
        <v/>
      </c>
      <c r="M21" s="10">
        <f>IF($E21="",0,IF($B21="Airbnb",$B$7,IF($B21="Long-let",$B$8,0))*$L21-$N21)</f>
        <v/>
      </c>
      <c r="N21" s="9" t="n">
        <v>15000</v>
      </c>
      <c r="O21" s="22" t="inlineStr">
        <is>
          <t>Owned. Airbnb from handover Q4 2029. Remaining instalments already committed - not new cash.</t>
        </is>
      </c>
    </row>
    <row r="22">
      <c r="A22" s="20" t="inlineStr">
        <is>
          <t>Athlon 1-bed (owned - SELL)</t>
        </is>
      </c>
      <c r="B22" s="16" t="inlineStr">
        <is>
          <t>Flip</t>
        </is>
      </c>
      <c r="C22" s="9" t="n">
        <v>1823000</v>
      </c>
      <c r="D22" s="21" t="n">
        <v>2025</v>
      </c>
      <c r="E22" s="21" t="inlineStr"/>
      <c r="F22" s="21" t="n">
        <v>2029</v>
      </c>
      <c r="G22" s="10">
        <f>IF($F22&lt;&gt;"",$C22*(1+$B$6)^($F22-MAX($D22,2026)),IF($E22&lt;&gt;"",$C22*(1+$B$6)^($E22-MAX($D22,2026)),0))</f>
        <v/>
      </c>
      <c r="H22" s="10">
        <f>IF($E22="",0,IF($B22="Airbnb",$B$7,IF($B22="Long-let",$B$8,0))*$G22-$N22)</f>
        <v/>
      </c>
      <c r="I22" s="10">
        <f>IF($F22="",0,$G22-0.4*$C22-$B$10*$G22)</f>
        <v/>
      </c>
      <c r="J22" s="10" t="n">
        <v>0</v>
      </c>
      <c r="K22" s="8">
        <f>F22</f>
        <v/>
      </c>
      <c r="L22" s="10">
        <f>IF($F22&lt;&gt;"",0,$C22*(1+$B$6)^(2036-MAX($D22,2026)))</f>
        <v/>
      </c>
      <c r="M22" s="10">
        <f>IF($E22="",0,IF($B22="Airbnb",$B$7,IF($B22="Long-let",$B$8,0))*$L22-$N22)</f>
        <v/>
      </c>
      <c r="N22" s="9" t="n">
        <v>0</v>
      </c>
      <c r="O22" s="22" t="inlineStr">
        <is>
          <t>Owned. Sell at handover. Cash back = sale - 40% balance owed - 2% sale cost. Decision gate 2029.</t>
        </is>
      </c>
    </row>
    <row r="23">
      <c r="A23" s="20" t="inlineStr">
        <is>
          <t>P3 keeper - Hudayriyat D4M</t>
        </is>
      </c>
      <c r="B23" s="16" t="inlineStr">
        <is>
          <t>Airbnb</t>
        </is>
      </c>
      <c r="C23" s="9" t="n">
        <v>4000000</v>
      </c>
      <c r="D23" s="21" t="n">
        <v>2026</v>
      </c>
      <c r="E23" s="21" t="n">
        <v>2030</v>
      </c>
      <c r="F23" s="21" t="inlineStr"/>
      <c r="G23" s="10">
        <f>IF($F23&lt;&gt;"",$C23*(1+$B$6)^($F23-MAX($D23,2026)),IF($E23&lt;&gt;"",$C23*(1+$B$6)^($E23-MAX($D23,2026)),0))</f>
        <v/>
      </c>
      <c r="H23" s="10">
        <f>IF($E23="",0,IF($B23="Airbnb",$B$7,IF($B23="Long-let",$B$8,0))*$G23-$N23)</f>
        <v/>
      </c>
      <c r="I23" s="10">
        <f>IF($F23="",0,$C23*$B$9+$G23-$C23-$B$10*$G23)</f>
        <v/>
      </c>
      <c r="J23" s="10">
        <f>0.42*C23</f>
        <v/>
      </c>
      <c r="K23" s="8">
        <f>E23</f>
        <v/>
      </c>
      <c r="L23" s="10">
        <f>IF($F23&lt;&gt;"",0,$C23*(1+$B$6)^(2036-MAX($D23,2026)))</f>
        <v/>
      </c>
      <c r="M23" s="10">
        <f>IF($E23="",0,IF($B23="Airbnb",$B$7,IF($B23="Long-let",$B$8,0))*$L23-$N23)</f>
        <v/>
      </c>
      <c r="N23" s="9" t="n">
        <v>10000</v>
      </c>
      <c r="O23" s="22" t="inlineStr">
        <is>
          <t>Deploy = 40% pre-handover + 2% ADM. 60% handover balance mortgaged (inputs B15/B16).</t>
        </is>
      </c>
    </row>
    <row r="24">
      <c r="A24" s="20" t="inlineStr">
        <is>
          <t>F1 flip - AD off-plan</t>
        </is>
      </c>
      <c r="B24" s="16" t="inlineStr">
        <is>
          <t>Flip</t>
        </is>
      </c>
      <c r="C24" s="9" t="n">
        <v>2000000</v>
      </c>
      <c r="D24" s="21" t="n">
        <v>2026</v>
      </c>
      <c r="E24" s="21" t="inlineStr"/>
      <c r="F24" s="21" t="n">
        <v>2029</v>
      </c>
      <c r="G24" s="10">
        <f>IF($F24&lt;&gt;"",$C24*(1+$B$6)^($F24-MAX($D24,2026)),IF($E24&lt;&gt;"",$C24*(1+$B$6)^($E24-MAX($D24,2026)),0))</f>
        <v/>
      </c>
      <c r="H24" s="10">
        <f>IF($E24="",0,IF($B24="Airbnb",$B$7,IF($B24="Long-let",$B$8,0))*$G24-$N24)</f>
        <v/>
      </c>
      <c r="I24" s="10">
        <f>IF($F24="",0,$C24*$B$9+$G24-$C24-$B$10*$G24)</f>
        <v/>
      </c>
      <c r="J24" s="10">
        <f>($B$9+0.02)*C24</f>
        <v/>
      </c>
      <c r="K24" s="8">
        <f>F24</f>
        <v/>
      </c>
      <c r="L24" s="10">
        <f>IF($F24&lt;&gt;"",0,$C24*(1+$B$6)^(2036-MAX($D24,2026)))</f>
        <v/>
      </c>
      <c r="M24" s="10">
        <f>IF($E24="",0,IF($B24="Airbnb",$B$7,IF($B24="Long-let",$B$8,0))*$L24-$N24)</f>
        <v/>
      </c>
      <c r="N24" s="9" t="n">
        <v>0</v>
      </c>
      <c r="O24" s="22" t="inlineStr">
        <is>
          <t>Deploy = paid-in % + 2% ADM entry. Cash back = paid-in + full-value appreciation - sale cost.</t>
        </is>
      </c>
    </row>
    <row r="25">
      <c r="A25" s="20" t="inlineStr">
        <is>
          <t>F2 flip - AD off-plan</t>
        </is>
      </c>
      <c r="B25" s="16" t="inlineStr">
        <is>
          <t>Flip</t>
        </is>
      </c>
      <c r="C25" s="9" t="n">
        <v>2000000</v>
      </c>
      <c r="D25" s="21" t="n">
        <v>2027</v>
      </c>
      <c r="E25" s="21" t="inlineStr"/>
      <c r="F25" s="21" t="n">
        <v>2030</v>
      </c>
      <c r="G25" s="10">
        <f>IF($F25&lt;&gt;"",$C25*(1+$B$6)^($F25-MAX($D25,2026)),IF($E25&lt;&gt;"",$C25*(1+$B$6)^($E25-MAX($D25,2026)),0))</f>
        <v/>
      </c>
      <c r="H25" s="10">
        <f>IF($E25="",0,IF($B25="Airbnb",$B$7,IF($B25="Long-let",$B$8,0))*$G25-$N25)</f>
        <v/>
      </c>
      <c r="I25" s="10">
        <f>IF($F25="",0,$C25*$B$9+$G25-$C25-$B$10*$G25)</f>
        <v/>
      </c>
      <c r="J25" s="10">
        <f>($B$9+0.02)*C25</f>
        <v/>
      </c>
      <c r="K25" s="8">
        <f>F25</f>
        <v/>
      </c>
      <c r="L25" s="10">
        <f>IF($F25&lt;&gt;"",0,$C25*(1+$B$6)^(2036-MAX($D25,2026)))</f>
        <v/>
      </c>
      <c r="M25" s="10">
        <f>IF($E25="",0,IF($B25="Airbnb",$B$7,IF($B25="Long-let",$B$8,0))*$L25-$N25)</f>
        <v/>
      </c>
      <c r="N25" s="9" t="n">
        <v>0</v>
      </c>
      <c r="O25" s="22" t="inlineStr">
        <is>
          <t>Second flip, staggered exit.</t>
        </is>
      </c>
    </row>
    <row r="26">
      <c r="A26" s="20" t="inlineStr">
        <is>
          <t>F3 flip - off-plan</t>
        </is>
      </c>
      <c r="B26" s="16" t="inlineStr">
        <is>
          <t>Flip</t>
        </is>
      </c>
      <c r="C26" s="9" t="n">
        <v>2000000</v>
      </c>
      <c r="D26" s="21" t="n">
        <v>2030</v>
      </c>
      <c r="E26" s="21" t="inlineStr"/>
      <c r="F26" s="21" t="n">
        <v>2033</v>
      </c>
      <c r="G26" s="10">
        <f>IF($F26&lt;&gt;"",$C26*(1+$B$6)^($F26-MAX($D26,2026)),IF($E26&lt;&gt;"",$C26*(1+$B$6)^($E26-MAX($D26,2026)),0))</f>
        <v/>
      </c>
      <c r="H26" s="10">
        <f>IF($E26="",0,IF($B26="Airbnb",$B$7,IF($B26="Long-let",$B$8,0))*$G26-$N26)</f>
        <v/>
      </c>
      <c r="I26" s="10">
        <f>IF($F26="",0,$C26*$B$9+$G26-$C26-$B$10*$G26)</f>
        <v/>
      </c>
      <c r="J26" s="10">
        <f>($B$9+0.02)*C26</f>
        <v/>
      </c>
      <c r="K26" s="8">
        <f>F26</f>
        <v/>
      </c>
      <c r="L26" s="10">
        <f>IF($F26&lt;&gt;"",0,$C26*(1+$B$6)^(2036-MAX($D26,2026)))</f>
        <v/>
      </c>
      <c r="M26" s="10">
        <f>IF($E26="",0,IF($B26="Airbnb",$B$7,IF($B26="Long-let",$B$8,0))*$L26-$N26)</f>
        <v/>
      </c>
      <c r="N26" s="9" t="n">
        <v>0</v>
      </c>
      <c r="O26" s="22" t="inlineStr">
        <is>
          <t>Last flip cycle - hard stop on new flips after this.</t>
        </is>
      </c>
    </row>
    <row r="27">
      <c r="A27" s="20" t="inlineStr">
        <is>
          <t>P4 keeper - ready unit</t>
        </is>
      </c>
      <c r="B27" s="16" t="inlineStr">
        <is>
          <t>Airbnb</t>
        </is>
      </c>
      <c r="C27" s="9" t="n">
        <v>4000000</v>
      </c>
      <c r="D27" s="21" t="n">
        <v>2030</v>
      </c>
      <c r="E27" s="21" t="n">
        <v>2031</v>
      </c>
      <c r="F27" s="21" t="inlineStr"/>
      <c r="G27" s="10">
        <f>IF($F27&lt;&gt;"",$C27*(1+$B$6)^($F27-MAX($D27,2026)),IF($E27&lt;&gt;"",$C27*(1+$B$6)^($E27-MAX($D27,2026)),0))</f>
        <v/>
      </c>
      <c r="H27" s="10">
        <f>IF($E27="",0,IF($B27="Airbnb",$B$7,IF($B27="Long-let",$B$8,0))*$G27-$N27)</f>
        <v/>
      </c>
      <c r="I27" s="10">
        <f>IF($F27="",0,$C27*$B$9+$G27-$C27-$B$10*$G27)</f>
        <v/>
      </c>
      <c r="J27" s="10">
        <f>1.04*C27</f>
        <v/>
      </c>
      <c r="K27" s="8">
        <f>D27+1</f>
        <v/>
      </c>
      <c r="L27" s="10">
        <f>IF($F27&lt;&gt;"",0,$C27*(1+$B$6)^(2036-MAX($D27,2026)))</f>
        <v/>
      </c>
      <c r="M27" s="10">
        <f>IF($E27="",0,IF($B27="Airbnb",$B$7,IF($B27="Long-let",$B$8,0))*$L27-$N27)</f>
        <v/>
      </c>
      <c r="N27" s="9" t="n">
        <v>15000</v>
      </c>
      <c r="O27" s="22" t="inlineStr">
        <is>
          <t>Ready unit bought with Athlon money + pot. Full price + 4% DLD. Income within a year.</t>
        </is>
      </c>
    </row>
    <row r="28">
      <c r="A28" s="20" t="inlineStr">
        <is>
          <t>P5 keeper - ready unit</t>
        </is>
      </c>
      <c r="B28" s="16" t="inlineStr">
        <is>
          <t>Long-let</t>
        </is>
      </c>
      <c r="C28" s="9" t="n">
        <v>4000000</v>
      </c>
      <c r="D28" s="21" t="n">
        <v>2034</v>
      </c>
      <c r="E28" s="21" t="n">
        <v>2034</v>
      </c>
      <c r="F28" s="21" t="inlineStr"/>
      <c r="G28" s="10">
        <f>IF($F28&lt;&gt;"",$C28*(1+$B$6)^($F28-MAX($D28,2026)),IF($E28&lt;&gt;"",$C28*(1+$B$6)^($E28-MAX($D28,2026)),0))</f>
        <v/>
      </c>
      <c r="H28" s="10">
        <f>IF($E28="",0,IF($B28="Airbnb",$B$7,IF($B28="Long-let",$B$8,0))*$G28-$N28)</f>
        <v/>
      </c>
      <c r="I28" s="10">
        <f>IF($F28="",0,$C28*$B$9+$G28-$C28-$B$10*$G28)</f>
        <v/>
      </c>
      <c r="J28" s="10">
        <f>1.04*C28</f>
        <v/>
      </c>
      <c r="K28" s="8">
        <f>D28+1</f>
        <v/>
      </c>
      <c r="L28" s="10">
        <f>IF($F28&lt;&gt;"",0,$C28*(1+$B$6)^(2036-MAX($D28,2026)))</f>
        <v/>
      </c>
      <c r="M28" s="10">
        <f>IF($E28="",0,IF($B28="Airbnb",$B$7,IF($B28="Long-let",$B$8,0))*$L28-$N28)</f>
        <v/>
      </c>
      <c r="N28" s="9" t="n">
        <v>10000</v>
      </c>
      <c r="O28" s="22" t="inlineStr">
        <is>
          <t>Bought early 2034 with the F3 exit + accumulated rents - service charges make 2033 too tight to buy in-year.</t>
        </is>
      </c>
    </row>
    <row r="29">
      <c r="A29" s="20" t="inlineStr">
        <is>
          <t>P6 keeper - ready unit</t>
        </is>
      </c>
      <c r="B29" s="16" t="inlineStr">
        <is>
          <t>Long-let</t>
        </is>
      </c>
      <c r="C29" s="9" t="n">
        <v>2000000</v>
      </c>
      <c r="D29" s="21" t="n">
        <v>2035</v>
      </c>
      <c r="E29" s="21" t="n">
        <v>2036</v>
      </c>
      <c r="F29" s="21" t="inlineStr"/>
      <c r="G29" s="10">
        <f>IF($F29&lt;&gt;"",$C29*(1+$B$6)^($F29-MAX($D29,2026)),IF($E29&lt;&gt;"",$C29*(1+$B$6)^($E29-MAX($D29,2026)),0))</f>
        <v/>
      </c>
      <c r="H29" s="10">
        <f>IF($E29="",0,IF($B29="Airbnb",$B$7,IF($B29="Long-let",$B$8,0))*$G29-$N29)</f>
        <v/>
      </c>
      <c r="I29" s="10">
        <f>IF($F29="",0,$C29*$B$9+$G29-$C29-$B$10*$G29)</f>
        <v/>
      </c>
      <c r="J29" s="10">
        <f>1.04*C29</f>
        <v/>
      </c>
      <c r="K29" s="8">
        <f>D29+1</f>
        <v/>
      </c>
      <c r="L29" s="10">
        <f>IF($F29&lt;&gt;"",0,$C29*(1+$B$6)^(2036-MAX($D29,2026)))</f>
        <v/>
      </c>
      <c r="M29" s="10">
        <f>IF($E29="",0,IF($B29="Airbnb",$B$7,IF($B29="Long-let",$B$8,0))*$L29-$N29)</f>
        <v/>
      </c>
      <c r="N29" s="9" t="n">
        <v>15000</v>
      </c>
      <c r="O29" s="22" t="inlineStr">
        <is>
          <t>Final rung, from surplus rents.</t>
        </is>
      </c>
    </row>
    <row r="30">
      <c r="A30" s="14" t="inlineStr">
        <is>
          <t>TOTALS</t>
        </is>
      </c>
      <c r="I30" s="15">
        <f>SUM(I21:I29)</f>
        <v/>
      </c>
      <c r="J30" s="15">
        <f>SUM(J21:J29)</f>
        <v/>
      </c>
      <c r="L30" s="15">
        <f>SUM(L21:L29)</f>
        <v/>
      </c>
      <c r="M30" s="15">
        <f>SUM(M21:M29)</f>
        <v/>
      </c>
    </row>
    <row r="33">
      <c r="A33" s="3" t="inlineStr">
        <is>
          <t>THE TIMELINE  (all D)</t>
        </is>
      </c>
    </row>
    <row r="34">
      <c r="A34" s="14" t="inlineStr">
        <is>
          <t>Year</t>
        </is>
      </c>
      <c r="B34" s="23" t="n">
        <v>2026</v>
      </c>
      <c r="C34" s="23" t="n">
        <v>2027</v>
      </c>
      <c r="D34" s="23" t="n">
        <v>2028</v>
      </c>
      <c r="E34" s="23" t="n">
        <v>2029</v>
      </c>
      <c r="F34" s="23" t="n">
        <v>2030</v>
      </c>
      <c r="G34" s="23" t="n">
        <v>2031</v>
      </c>
      <c r="H34" s="23" t="n">
        <v>2032</v>
      </c>
      <c r="I34" s="23" t="n">
        <v>2033</v>
      </c>
      <c r="J34" s="23" t="n">
        <v>2034</v>
      </c>
      <c r="K34" s="23" t="n">
        <v>2035</v>
      </c>
      <c r="L34" s="23" t="n">
        <v>2036</v>
      </c>
      <c r="M34" s="23" t="n">
        <v>2037</v>
      </c>
      <c r="N34" s="23" t="n">
        <v>2038</v>
      </c>
    </row>
    <row r="35">
      <c r="A35" s="24">
        <f>A21</f>
        <v/>
      </c>
      <c r="B35" s="25">
        <f>IF(OR($E21="",B$34&lt;$E21),0,IF($B21="Airbnb",$B$7,IF($B21="Long-let",$B$8,0))*$C21*(1+$B$6)^(B$34-MAX($D21,2026))-$N21)</f>
        <v/>
      </c>
      <c r="C35" s="25">
        <f>IF(OR($E21="",C$34&lt;$E21),0,IF($B21="Airbnb",$B$7,IF($B21="Long-let",$B$8,0))*$C21*(1+$B$6)^(C$34-MAX($D21,2026))-$N21)</f>
        <v/>
      </c>
      <c r="D35" s="25">
        <f>IF(OR($E21="",D$34&lt;$E21),0,IF($B21="Airbnb",$B$7,IF($B21="Long-let",$B$8,0))*$C21*(1+$B$6)^(D$34-MAX($D21,2026))-$N21)</f>
        <v/>
      </c>
      <c r="E35" s="25">
        <f>IF(OR($E21="",E$34&lt;$E21),0,IF($B21="Airbnb",$B$7,IF($B21="Long-let",$B$8,0))*$C21*(1+$B$6)^(E$34-MAX($D21,2026))-$N21)</f>
        <v/>
      </c>
      <c r="F35" s="25">
        <f>IF(OR($E21="",F$34&lt;$E21),0,IF($B21="Airbnb",$B$7,IF($B21="Long-let",$B$8,0))*$C21*(1+$B$6)^(F$34-MAX($D21,2026))-$N21)</f>
        <v/>
      </c>
      <c r="G35" s="25">
        <f>IF(OR($E21="",G$34&lt;$E21),0,IF($B21="Airbnb",$B$7,IF($B21="Long-let",$B$8,0))*$C21*(1+$B$6)^(G$34-MAX($D21,2026))-$N21)</f>
        <v/>
      </c>
      <c r="H35" s="25">
        <f>IF(OR($E21="",H$34&lt;$E21),0,IF($B21="Airbnb",$B$7,IF($B21="Long-let",$B$8,0))*$C21*(1+$B$6)^(H$34-MAX($D21,2026))-$N21)</f>
        <v/>
      </c>
      <c r="I35" s="25">
        <f>IF(OR($E21="",I$34&lt;$E21),0,IF($B21="Airbnb",$B$7,IF($B21="Long-let",$B$8,0))*$C21*(1+$B$6)^(I$34-MAX($D21,2026))-$N21)</f>
        <v/>
      </c>
      <c r="J35" s="25">
        <f>IF(OR($E21="",J$34&lt;$E21),0,IF($B21="Airbnb",$B$7,IF($B21="Long-let",$B$8,0))*$C21*(1+$B$6)^(J$34-MAX($D21,2026))-$N21)</f>
        <v/>
      </c>
      <c r="K35" s="25">
        <f>IF(OR($E21="",K$34&lt;$E21),0,IF($B21="Airbnb",$B$7,IF($B21="Long-let",$B$8,0))*$C21*(1+$B$6)^(K$34-MAX($D21,2026))-$N21)</f>
        <v/>
      </c>
      <c r="L35" s="25">
        <f>IF(OR($E21="",L$34&lt;$E21),0,IF($B21="Airbnb",$B$7,IF($B21="Long-let",$B$8,0))*$C21*(1+$B$6)^(L$34-MAX($D21,2026))-$N21)</f>
        <v/>
      </c>
      <c r="M35" s="25">
        <f>IF(OR($E21="",M$34&lt;$E21),0,IF($B21="Airbnb",$B$7,IF($B21="Long-let",$B$8,0))*$C21*(1+$B$6)^(M$34-MAX($D21,2026))-$N21)</f>
        <v/>
      </c>
      <c r="N35" s="25">
        <f>IF(OR($E21="",N$34&lt;$E21),0,IF($B21="Airbnb",$B$7,IF($B21="Long-let",$B$8,0))*$C21*(1+$B$6)^(N$34-MAX($D21,2026))-$N21)</f>
        <v/>
      </c>
    </row>
    <row r="36">
      <c r="A36" s="24">
        <f>A22</f>
        <v/>
      </c>
      <c r="B36" s="25">
        <f>IF(OR($E22="",B$34&lt;$E22),0,IF($B22="Airbnb",$B$7,IF($B22="Long-let",$B$8,0))*$C22*(1+$B$6)^(B$34-MAX($D22,2026))-$N22)</f>
        <v/>
      </c>
      <c r="C36" s="25">
        <f>IF(OR($E22="",C$34&lt;$E22),0,IF($B22="Airbnb",$B$7,IF($B22="Long-let",$B$8,0))*$C22*(1+$B$6)^(C$34-MAX($D22,2026))-$N22)</f>
        <v/>
      </c>
      <c r="D36" s="25">
        <f>IF(OR($E22="",D$34&lt;$E22),0,IF($B22="Airbnb",$B$7,IF($B22="Long-let",$B$8,0))*$C22*(1+$B$6)^(D$34-MAX($D22,2026))-$N22)</f>
        <v/>
      </c>
      <c r="E36" s="25">
        <f>IF(OR($E22="",E$34&lt;$E22),0,IF($B22="Airbnb",$B$7,IF($B22="Long-let",$B$8,0))*$C22*(1+$B$6)^(E$34-MAX($D22,2026))-$N22)</f>
        <v/>
      </c>
      <c r="F36" s="25">
        <f>IF(OR($E22="",F$34&lt;$E22),0,IF($B22="Airbnb",$B$7,IF($B22="Long-let",$B$8,0))*$C22*(1+$B$6)^(F$34-MAX($D22,2026))-$N22)</f>
        <v/>
      </c>
      <c r="G36" s="25">
        <f>IF(OR($E22="",G$34&lt;$E22),0,IF($B22="Airbnb",$B$7,IF($B22="Long-let",$B$8,0))*$C22*(1+$B$6)^(G$34-MAX($D22,2026))-$N22)</f>
        <v/>
      </c>
      <c r="H36" s="25">
        <f>IF(OR($E22="",H$34&lt;$E22),0,IF($B22="Airbnb",$B$7,IF($B22="Long-let",$B$8,0))*$C22*(1+$B$6)^(H$34-MAX($D22,2026))-$N22)</f>
        <v/>
      </c>
      <c r="I36" s="25">
        <f>IF(OR($E22="",I$34&lt;$E22),0,IF($B22="Airbnb",$B$7,IF($B22="Long-let",$B$8,0))*$C22*(1+$B$6)^(I$34-MAX($D22,2026))-$N22)</f>
        <v/>
      </c>
      <c r="J36" s="25">
        <f>IF(OR($E22="",J$34&lt;$E22),0,IF($B22="Airbnb",$B$7,IF($B22="Long-let",$B$8,0))*$C22*(1+$B$6)^(J$34-MAX($D22,2026))-$N22)</f>
        <v/>
      </c>
      <c r="K36" s="25">
        <f>IF(OR($E22="",K$34&lt;$E22),0,IF($B22="Airbnb",$B$7,IF($B22="Long-let",$B$8,0))*$C22*(1+$B$6)^(K$34-MAX($D22,2026))-$N22)</f>
        <v/>
      </c>
      <c r="L36" s="25">
        <f>IF(OR($E22="",L$34&lt;$E22),0,IF($B22="Airbnb",$B$7,IF($B22="Long-let",$B$8,0))*$C22*(1+$B$6)^(L$34-MAX($D22,2026))-$N22)</f>
        <v/>
      </c>
      <c r="M36" s="25">
        <f>IF(OR($E22="",M$34&lt;$E22),0,IF($B22="Airbnb",$B$7,IF($B22="Long-let",$B$8,0))*$C22*(1+$B$6)^(M$34-MAX($D22,2026))-$N22)</f>
        <v/>
      </c>
      <c r="N36" s="25">
        <f>IF(OR($E22="",N$34&lt;$E22),0,IF($B22="Airbnb",$B$7,IF($B22="Long-let",$B$8,0))*$C22*(1+$B$6)^(N$34-MAX($D22,2026))-$N22)</f>
        <v/>
      </c>
    </row>
    <row r="37">
      <c r="A37" s="24">
        <f>A23</f>
        <v/>
      </c>
      <c r="B37" s="25">
        <f>IF(OR($E23="",B$34&lt;$E23),0,IF($B23="Airbnb",$B$7,IF($B23="Long-let",$B$8,0))*$C23*(1+$B$6)^(B$34-MAX($D23,2026))-$N23)</f>
        <v/>
      </c>
      <c r="C37" s="25">
        <f>IF(OR($E23="",C$34&lt;$E23),0,IF($B23="Airbnb",$B$7,IF($B23="Long-let",$B$8,0))*$C23*(1+$B$6)^(C$34-MAX($D23,2026))-$N23)</f>
        <v/>
      </c>
      <c r="D37" s="25">
        <f>IF(OR($E23="",D$34&lt;$E23),0,IF($B23="Airbnb",$B$7,IF($B23="Long-let",$B$8,0))*$C23*(1+$B$6)^(D$34-MAX($D23,2026))-$N23)</f>
        <v/>
      </c>
      <c r="E37" s="25">
        <f>IF(OR($E23="",E$34&lt;$E23),0,IF($B23="Airbnb",$B$7,IF($B23="Long-let",$B$8,0))*$C23*(1+$B$6)^(E$34-MAX($D23,2026))-$N23)</f>
        <v/>
      </c>
      <c r="F37" s="25">
        <f>IF(OR($E23="",F$34&lt;$E23),0,IF($B23="Airbnb",$B$7,IF($B23="Long-let",$B$8,0))*$C23*(1+$B$6)^(F$34-MAX($D23,2026))-$N23)</f>
        <v/>
      </c>
      <c r="G37" s="25">
        <f>IF(OR($E23="",G$34&lt;$E23),0,IF($B23="Airbnb",$B$7,IF($B23="Long-let",$B$8,0))*$C23*(1+$B$6)^(G$34-MAX($D23,2026))-$N23)</f>
        <v/>
      </c>
      <c r="H37" s="25">
        <f>IF(OR($E23="",H$34&lt;$E23),0,IF($B23="Airbnb",$B$7,IF($B23="Long-let",$B$8,0))*$C23*(1+$B$6)^(H$34-MAX($D23,2026))-$N23)</f>
        <v/>
      </c>
      <c r="I37" s="25">
        <f>IF(OR($E23="",I$34&lt;$E23),0,IF($B23="Airbnb",$B$7,IF($B23="Long-let",$B$8,0))*$C23*(1+$B$6)^(I$34-MAX($D23,2026))-$N23)</f>
        <v/>
      </c>
      <c r="J37" s="25">
        <f>IF(OR($E23="",J$34&lt;$E23),0,IF($B23="Airbnb",$B$7,IF($B23="Long-let",$B$8,0))*$C23*(1+$B$6)^(J$34-MAX($D23,2026))-$N23)</f>
        <v/>
      </c>
      <c r="K37" s="25">
        <f>IF(OR($E23="",K$34&lt;$E23),0,IF($B23="Airbnb",$B$7,IF($B23="Long-let",$B$8,0))*$C23*(1+$B$6)^(K$34-MAX($D23,2026))-$N23)</f>
        <v/>
      </c>
      <c r="L37" s="25">
        <f>IF(OR($E23="",L$34&lt;$E23),0,IF($B23="Airbnb",$B$7,IF($B23="Long-let",$B$8,0))*$C23*(1+$B$6)^(L$34-MAX($D23,2026))-$N23)</f>
        <v/>
      </c>
      <c r="M37" s="25">
        <f>IF(OR($E23="",M$34&lt;$E23),0,IF($B23="Airbnb",$B$7,IF($B23="Long-let",$B$8,0))*$C23*(1+$B$6)^(M$34-MAX($D23,2026))-$N23)</f>
        <v/>
      </c>
      <c r="N37" s="25">
        <f>IF(OR($E23="",N$34&lt;$E23),0,IF($B23="Airbnb",$B$7,IF($B23="Long-let",$B$8,0))*$C23*(1+$B$6)^(N$34-MAX($D23,2026))-$N23)</f>
        <v/>
      </c>
    </row>
    <row r="38">
      <c r="A38" s="24">
        <f>A24</f>
        <v/>
      </c>
      <c r="B38" s="25">
        <f>IF(OR($E24="",B$34&lt;$E24),0,IF($B24="Airbnb",$B$7,IF($B24="Long-let",$B$8,0))*$C24*(1+$B$6)^(B$34-MAX($D24,2026))-$N24)</f>
        <v/>
      </c>
      <c r="C38" s="25">
        <f>IF(OR($E24="",C$34&lt;$E24),0,IF($B24="Airbnb",$B$7,IF($B24="Long-let",$B$8,0))*$C24*(1+$B$6)^(C$34-MAX($D24,2026))-$N24)</f>
        <v/>
      </c>
      <c r="D38" s="25">
        <f>IF(OR($E24="",D$34&lt;$E24),0,IF($B24="Airbnb",$B$7,IF($B24="Long-let",$B$8,0))*$C24*(1+$B$6)^(D$34-MAX($D24,2026))-$N24)</f>
        <v/>
      </c>
      <c r="E38" s="25">
        <f>IF(OR($E24="",E$34&lt;$E24),0,IF($B24="Airbnb",$B$7,IF($B24="Long-let",$B$8,0))*$C24*(1+$B$6)^(E$34-MAX($D24,2026))-$N24)</f>
        <v/>
      </c>
      <c r="F38" s="25">
        <f>IF(OR($E24="",F$34&lt;$E24),0,IF($B24="Airbnb",$B$7,IF($B24="Long-let",$B$8,0))*$C24*(1+$B$6)^(F$34-MAX($D24,2026))-$N24)</f>
        <v/>
      </c>
      <c r="G38" s="25">
        <f>IF(OR($E24="",G$34&lt;$E24),0,IF($B24="Airbnb",$B$7,IF($B24="Long-let",$B$8,0))*$C24*(1+$B$6)^(G$34-MAX($D24,2026))-$N24)</f>
        <v/>
      </c>
      <c r="H38" s="25">
        <f>IF(OR($E24="",H$34&lt;$E24),0,IF($B24="Airbnb",$B$7,IF($B24="Long-let",$B$8,0))*$C24*(1+$B$6)^(H$34-MAX($D24,2026))-$N24)</f>
        <v/>
      </c>
      <c r="I38" s="25">
        <f>IF(OR($E24="",I$34&lt;$E24),0,IF($B24="Airbnb",$B$7,IF($B24="Long-let",$B$8,0))*$C24*(1+$B$6)^(I$34-MAX($D24,2026))-$N24)</f>
        <v/>
      </c>
      <c r="J38" s="25">
        <f>IF(OR($E24="",J$34&lt;$E24),0,IF($B24="Airbnb",$B$7,IF($B24="Long-let",$B$8,0))*$C24*(1+$B$6)^(J$34-MAX($D24,2026))-$N24)</f>
        <v/>
      </c>
      <c r="K38" s="25">
        <f>IF(OR($E24="",K$34&lt;$E24),0,IF($B24="Airbnb",$B$7,IF($B24="Long-let",$B$8,0))*$C24*(1+$B$6)^(K$34-MAX($D24,2026))-$N24)</f>
        <v/>
      </c>
      <c r="L38" s="25">
        <f>IF(OR($E24="",L$34&lt;$E24),0,IF($B24="Airbnb",$B$7,IF($B24="Long-let",$B$8,0))*$C24*(1+$B$6)^(L$34-MAX($D24,2026))-$N24)</f>
        <v/>
      </c>
      <c r="M38" s="25">
        <f>IF(OR($E24="",M$34&lt;$E24),0,IF($B24="Airbnb",$B$7,IF($B24="Long-let",$B$8,0))*$C24*(1+$B$6)^(M$34-MAX($D24,2026))-$N24)</f>
        <v/>
      </c>
      <c r="N38" s="25">
        <f>IF(OR($E24="",N$34&lt;$E24),0,IF($B24="Airbnb",$B$7,IF($B24="Long-let",$B$8,0))*$C24*(1+$B$6)^(N$34-MAX($D24,2026))-$N24)</f>
        <v/>
      </c>
    </row>
    <row r="39">
      <c r="A39" s="24">
        <f>A25</f>
        <v/>
      </c>
      <c r="B39" s="25">
        <f>IF(OR($E25="",B$34&lt;$E25),0,IF($B25="Airbnb",$B$7,IF($B25="Long-let",$B$8,0))*$C25*(1+$B$6)^(B$34-MAX($D25,2026))-$N25)</f>
        <v/>
      </c>
      <c r="C39" s="25">
        <f>IF(OR($E25="",C$34&lt;$E25),0,IF($B25="Airbnb",$B$7,IF($B25="Long-let",$B$8,0))*$C25*(1+$B$6)^(C$34-MAX($D25,2026))-$N25)</f>
        <v/>
      </c>
      <c r="D39" s="25">
        <f>IF(OR($E25="",D$34&lt;$E25),0,IF($B25="Airbnb",$B$7,IF($B25="Long-let",$B$8,0))*$C25*(1+$B$6)^(D$34-MAX($D25,2026))-$N25)</f>
        <v/>
      </c>
      <c r="E39" s="25">
        <f>IF(OR($E25="",E$34&lt;$E25),0,IF($B25="Airbnb",$B$7,IF($B25="Long-let",$B$8,0))*$C25*(1+$B$6)^(E$34-MAX($D25,2026))-$N25)</f>
        <v/>
      </c>
      <c r="F39" s="25">
        <f>IF(OR($E25="",F$34&lt;$E25),0,IF($B25="Airbnb",$B$7,IF($B25="Long-let",$B$8,0))*$C25*(1+$B$6)^(F$34-MAX($D25,2026))-$N25)</f>
        <v/>
      </c>
      <c r="G39" s="25">
        <f>IF(OR($E25="",G$34&lt;$E25),0,IF($B25="Airbnb",$B$7,IF($B25="Long-let",$B$8,0))*$C25*(1+$B$6)^(G$34-MAX($D25,2026))-$N25)</f>
        <v/>
      </c>
      <c r="H39" s="25">
        <f>IF(OR($E25="",H$34&lt;$E25),0,IF($B25="Airbnb",$B$7,IF($B25="Long-let",$B$8,0))*$C25*(1+$B$6)^(H$34-MAX($D25,2026))-$N25)</f>
        <v/>
      </c>
      <c r="I39" s="25">
        <f>IF(OR($E25="",I$34&lt;$E25),0,IF($B25="Airbnb",$B$7,IF($B25="Long-let",$B$8,0))*$C25*(1+$B$6)^(I$34-MAX($D25,2026))-$N25)</f>
        <v/>
      </c>
      <c r="J39" s="25">
        <f>IF(OR($E25="",J$34&lt;$E25),0,IF($B25="Airbnb",$B$7,IF($B25="Long-let",$B$8,0))*$C25*(1+$B$6)^(J$34-MAX($D25,2026))-$N25)</f>
        <v/>
      </c>
      <c r="K39" s="25">
        <f>IF(OR($E25="",K$34&lt;$E25),0,IF($B25="Airbnb",$B$7,IF($B25="Long-let",$B$8,0))*$C25*(1+$B$6)^(K$34-MAX($D25,2026))-$N25)</f>
        <v/>
      </c>
      <c r="L39" s="25">
        <f>IF(OR($E25="",L$34&lt;$E25),0,IF($B25="Airbnb",$B$7,IF($B25="Long-let",$B$8,0))*$C25*(1+$B$6)^(L$34-MAX($D25,2026))-$N25)</f>
        <v/>
      </c>
      <c r="M39" s="25">
        <f>IF(OR($E25="",M$34&lt;$E25),0,IF($B25="Airbnb",$B$7,IF($B25="Long-let",$B$8,0))*$C25*(1+$B$6)^(M$34-MAX($D25,2026))-$N25)</f>
        <v/>
      </c>
      <c r="N39" s="25">
        <f>IF(OR($E25="",N$34&lt;$E25),0,IF($B25="Airbnb",$B$7,IF($B25="Long-let",$B$8,0))*$C25*(1+$B$6)^(N$34-MAX($D25,2026))-$N25)</f>
        <v/>
      </c>
    </row>
    <row r="40">
      <c r="A40" s="24">
        <f>A26</f>
        <v/>
      </c>
      <c r="B40" s="25">
        <f>IF(OR($E26="",B$34&lt;$E26),0,IF($B26="Airbnb",$B$7,IF($B26="Long-let",$B$8,0))*$C26*(1+$B$6)^(B$34-MAX($D26,2026))-$N26)</f>
        <v/>
      </c>
      <c r="C40" s="25">
        <f>IF(OR($E26="",C$34&lt;$E26),0,IF($B26="Airbnb",$B$7,IF($B26="Long-let",$B$8,0))*$C26*(1+$B$6)^(C$34-MAX($D26,2026))-$N26)</f>
        <v/>
      </c>
      <c r="D40" s="25">
        <f>IF(OR($E26="",D$34&lt;$E26),0,IF($B26="Airbnb",$B$7,IF($B26="Long-let",$B$8,0))*$C26*(1+$B$6)^(D$34-MAX($D26,2026))-$N26)</f>
        <v/>
      </c>
      <c r="E40" s="25">
        <f>IF(OR($E26="",E$34&lt;$E26),0,IF($B26="Airbnb",$B$7,IF($B26="Long-let",$B$8,0))*$C26*(1+$B$6)^(E$34-MAX($D26,2026))-$N26)</f>
        <v/>
      </c>
      <c r="F40" s="25">
        <f>IF(OR($E26="",F$34&lt;$E26),0,IF($B26="Airbnb",$B$7,IF($B26="Long-let",$B$8,0))*$C26*(1+$B$6)^(F$34-MAX($D26,2026))-$N26)</f>
        <v/>
      </c>
      <c r="G40" s="25">
        <f>IF(OR($E26="",G$34&lt;$E26),0,IF($B26="Airbnb",$B$7,IF($B26="Long-let",$B$8,0))*$C26*(1+$B$6)^(G$34-MAX($D26,2026))-$N26)</f>
        <v/>
      </c>
      <c r="H40" s="25">
        <f>IF(OR($E26="",H$34&lt;$E26),0,IF($B26="Airbnb",$B$7,IF($B26="Long-let",$B$8,0))*$C26*(1+$B$6)^(H$34-MAX($D26,2026))-$N26)</f>
        <v/>
      </c>
      <c r="I40" s="25">
        <f>IF(OR($E26="",I$34&lt;$E26),0,IF($B26="Airbnb",$B$7,IF($B26="Long-let",$B$8,0))*$C26*(1+$B$6)^(I$34-MAX($D26,2026))-$N26)</f>
        <v/>
      </c>
      <c r="J40" s="25">
        <f>IF(OR($E26="",J$34&lt;$E26),0,IF($B26="Airbnb",$B$7,IF($B26="Long-let",$B$8,0))*$C26*(1+$B$6)^(J$34-MAX($D26,2026))-$N26)</f>
        <v/>
      </c>
      <c r="K40" s="25">
        <f>IF(OR($E26="",K$34&lt;$E26),0,IF($B26="Airbnb",$B$7,IF($B26="Long-let",$B$8,0))*$C26*(1+$B$6)^(K$34-MAX($D26,2026))-$N26)</f>
        <v/>
      </c>
      <c r="L40" s="25">
        <f>IF(OR($E26="",L$34&lt;$E26),0,IF($B26="Airbnb",$B$7,IF($B26="Long-let",$B$8,0))*$C26*(1+$B$6)^(L$34-MAX($D26,2026))-$N26)</f>
        <v/>
      </c>
      <c r="M40" s="25">
        <f>IF(OR($E26="",M$34&lt;$E26),0,IF($B26="Airbnb",$B$7,IF($B26="Long-let",$B$8,0))*$C26*(1+$B$6)^(M$34-MAX($D26,2026))-$N26)</f>
        <v/>
      </c>
      <c r="N40" s="25">
        <f>IF(OR($E26="",N$34&lt;$E26),0,IF($B26="Airbnb",$B$7,IF($B26="Long-let",$B$8,0))*$C26*(1+$B$6)^(N$34-MAX($D26,2026))-$N26)</f>
        <v/>
      </c>
    </row>
    <row r="41">
      <c r="A41" s="24">
        <f>A27</f>
        <v/>
      </c>
      <c r="B41" s="25">
        <f>IF(OR($E27="",B$34&lt;$E27),0,IF($B27="Airbnb",$B$7,IF($B27="Long-let",$B$8,0))*$C27*(1+$B$6)^(B$34-MAX($D27,2026))-$N27)</f>
        <v/>
      </c>
      <c r="C41" s="25">
        <f>IF(OR($E27="",C$34&lt;$E27),0,IF($B27="Airbnb",$B$7,IF($B27="Long-let",$B$8,0))*$C27*(1+$B$6)^(C$34-MAX($D27,2026))-$N27)</f>
        <v/>
      </c>
      <c r="D41" s="25">
        <f>IF(OR($E27="",D$34&lt;$E27),0,IF($B27="Airbnb",$B$7,IF($B27="Long-let",$B$8,0))*$C27*(1+$B$6)^(D$34-MAX($D27,2026))-$N27)</f>
        <v/>
      </c>
      <c r="E41" s="25">
        <f>IF(OR($E27="",E$34&lt;$E27),0,IF($B27="Airbnb",$B$7,IF($B27="Long-let",$B$8,0))*$C27*(1+$B$6)^(E$34-MAX($D27,2026))-$N27)</f>
        <v/>
      </c>
      <c r="F41" s="25">
        <f>IF(OR($E27="",F$34&lt;$E27),0,IF($B27="Airbnb",$B$7,IF($B27="Long-let",$B$8,0))*$C27*(1+$B$6)^(F$34-MAX($D27,2026))-$N27)</f>
        <v/>
      </c>
      <c r="G41" s="25">
        <f>IF(OR($E27="",G$34&lt;$E27),0,IF($B27="Airbnb",$B$7,IF($B27="Long-let",$B$8,0))*$C27*(1+$B$6)^(G$34-MAX($D27,2026))-$N27)</f>
        <v/>
      </c>
      <c r="H41" s="25">
        <f>IF(OR($E27="",H$34&lt;$E27),0,IF($B27="Airbnb",$B$7,IF($B27="Long-let",$B$8,0))*$C27*(1+$B$6)^(H$34-MAX($D27,2026))-$N27)</f>
        <v/>
      </c>
      <c r="I41" s="25">
        <f>IF(OR($E27="",I$34&lt;$E27),0,IF($B27="Airbnb",$B$7,IF($B27="Long-let",$B$8,0))*$C27*(1+$B$6)^(I$34-MAX($D27,2026))-$N27)</f>
        <v/>
      </c>
      <c r="J41" s="25">
        <f>IF(OR($E27="",J$34&lt;$E27),0,IF($B27="Airbnb",$B$7,IF($B27="Long-let",$B$8,0))*$C27*(1+$B$6)^(J$34-MAX($D27,2026))-$N27)</f>
        <v/>
      </c>
      <c r="K41" s="25">
        <f>IF(OR($E27="",K$34&lt;$E27),0,IF($B27="Airbnb",$B$7,IF($B27="Long-let",$B$8,0))*$C27*(1+$B$6)^(K$34-MAX($D27,2026))-$N27)</f>
        <v/>
      </c>
      <c r="L41" s="25">
        <f>IF(OR($E27="",L$34&lt;$E27),0,IF($B27="Airbnb",$B$7,IF($B27="Long-let",$B$8,0))*$C27*(1+$B$6)^(L$34-MAX($D27,2026))-$N27)</f>
        <v/>
      </c>
      <c r="M41" s="25">
        <f>IF(OR($E27="",M$34&lt;$E27),0,IF($B27="Airbnb",$B$7,IF($B27="Long-let",$B$8,0))*$C27*(1+$B$6)^(M$34-MAX($D27,2026))-$N27)</f>
        <v/>
      </c>
      <c r="N41" s="25">
        <f>IF(OR($E27="",N$34&lt;$E27),0,IF($B27="Airbnb",$B$7,IF($B27="Long-let",$B$8,0))*$C27*(1+$B$6)^(N$34-MAX($D27,2026))-$N27)</f>
        <v/>
      </c>
    </row>
    <row r="42">
      <c r="A42" s="24">
        <f>A28</f>
        <v/>
      </c>
      <c r="B42" s="25">
        <f>IF(OR($E28="",B$34&lt;$E28),0,IF($B28="Airbnb",$B$7,IF($B28="Long-let",$B$8,0))*$C28*(1+$B$6)^(B$34-MAX($D28,2026))-$N28)</f>
        <v/>
      </c>
      <c r="C42" s="25">
        <f>IF(OR($E28="",C$34&lt;$E28),0,IF($B28="Airbnb",$B$7,IF($B28="Long-let",$B$8,0))*$C28*(1+$B$6)^(C$34-MAX($D28,2026))-$N28)</f>
        <v/>
      </c>
      <c r="D42" s="25">
        <f>IF(OR($E28="",D$34&lt;$E28),0,IF($B28="Airbnb",$B$7,IF($B28="Long-let",$B$8,0))*$C28*(1+$B$6)^(D$34-MAX($D28,2026))-$N28)</f>
        <v/>
      </c>
      <c r="E42" s="25">
        <f>IF(OR($E28="",E$34&lt;$E28),0,IF($B28="Airbnb",$B$7,IF($B28="Long-let",$B$8,0))*$C28*(1+$B$6)^(E$34-MAX($D28,2026))-$N28)</f>
        <v/>
      </c>
      <c r="F42" s="25">
        <f>IF(OR($E28="",F$34&lt;$E28),0,IF($B28="Airbnb",$B$7,IF($B28="Long-let",$B$8,0))*$C28*(1+$B$6)^(F$34-MAX($D28,2026))-$N28)</f>
        <v/>
      </c>
      <c r="G42" s="25">
        <f>IF(OR($E28="",G$34&lt;$E28),0,IF($B28="Airbnb",$B$7,IF($B28="Long-let",$B$8,0))*$C28*(1+$B$6)^(G$34-MAX($D28,2026))-$N28)</f>
        <v/>
      </c>
      <c r="H42" s="25">
        <f>IF(OR($E28="",H$34&lt;$E28),0,IF($B28="Airbnb",$B$7,IF($B28="Long-let",$B$8,0))*$C28*(1+$B$6)^(H$34-MAX($D28,2026))-$N28)</f>
        <v/>
      </c>
      <c r="I42" s="25">
        <f>IF(OR($E28="",I$34&lt;$E28),0,IF($B28="Airbnb",$B$7,IF($B28="Long-let",$B$8,0))*$C28*(1+$B$6)^(I$34-MAX($D28,2026))-$N28)</f>
        <v/>
      </c>
      <c r="J42" s="25">
        <f>IF(OR($E28="",J$34&lt;$E28),0,IF($B28="Airbnb",$B$7,IF($B28="Long-let",$B$8,0))*$C28*(1+$B$6)^(J$34-MAX($D28,2026))-$N28)</f>
        <v/>
      </c>
      <c r="K42" s="25">
        <f>IF(OR($E28="",K$34&lt;$E28),0,IF($B28="Airbnb",$B$7,IF($B28="Long-let",$B$8,0))*$C28*(1+$B$6)^(K$34-MAX($D28,2026))-$N28)</f>
        <v/>
      </c>
      <c r="L42" s="25">
        <f>IF(OR($E28="",L$34&lt;$E28),0,IF($B28="Airbnb",$B$7,IF($B28="Long-let",$B$8,0))*$C28*(1+$B$6)^(L$34-MAX($D28,2026))-$N28)</f>
        <v/>
      </c>
      <c r="M42" s="25">
        <f>IF(OR($E28="",M$34&lt;$E28),0,IF($B28="Airbnb",$B$7,IF($B28="Long-let",$B$8,0))*$C28*(1+$B$6)^(M$34-MAX($D28,2026))-$N28)</f>
        <v/>
      </c>
      <c r="N42" s="25">
        <f>IF(OR($E28="",N$34&lt;$E28),0,IF($B28="Airbnb",$B$7,IF($B28="Long-let",$B$8,0))*$C28*(1+$B$6)^(N$34-MAX($D28,2026))-$N28)</f>
        <v/>
      </c>
    </row>
    <row r="43">
      <c r="A43" s="24">
        <f>A29</f>
        <v/>
      </c>
      <c r="B43" s="25">
        <f>IF(OR($E29="",B$34&lt;$E29),0,IF($B29="Airbnb",$B$7,IF($B29="Long-let",$B$8,0))*$C29*(1+$B$6)^(B$34-MAX($D29,2026))-$N29)</f>
        <v/>
      </c>
      <c r="C43" s="25">
        <f>IF(OR($E29="",C$34&lt;$E29),0,IF($B29="Airbnb",$B$7,IF($B29="Long-let",$B$8,0))*$C29*(1+$B$6)^(C$34-MAX($D29,2026))-$N29)</f>
        <v/>
      </c>
      <c r="D43" s="25">
        <f>IF(OR($E29="",D$34&lt;$E29),0,IF($B29="Airbnb",$B$7,IF($B29="Long-let",$B$8,0))*$C29*(1+$B$6)^(D$34-MAX($D29,2026))-$N29)</f>
        <v/>
      </c>
      <c r="E43" s="25">
        <f>IF(OR($E29="",E$34&lt;$E29),0,IF($B29="Airbnb",$B$7,IF($B29="Long-let",$B$8,0))*$C29*(1+$B$6)^(E$34-MAX($D29,2026))-$N29)</f>
        <v/>
      </c>
      <c r="F43" s="25">
        <f>IF(OR($E29="",F$34&lt;$E29),0,IF($B29="Airbnb",$B$7,IF($B29="Long-let",$B$8,0))*$C29*(1+$B$6)^(F$34-MAX($D29,2026))-$N29)</f>
        <v/>
      </c>
      <c r="G43" s="25">
        <f>IF(OR($E29="",G$34&lt;$E29),0,IF($B29="Airbnb",$B$7,IF($B29="Long-let",$B$8,0))*$C29*(1+$B$6)^(G$34-MAX($D29,2026))-$N29)</f>
        <v/>
      </c>
      <c r="H43" s="25">
        <f>IF(OR($E29="",H$34&lt;$E29),0,IF($B29="Airbnb",$B$7,IF($B29="Long-let",$B$8,0))*$C29*(1+$B$6)^(H$34-MAX($D29,2026))-$N29)</f>
        <v/>
      </c>
      <c r="I43" s="25">
        <f>IF(OR($E29="",I$34&lt;$E29),0,IF($B29="Airbnb",$B$7,IF($B29="Long-let",$B$8,0))*$C29*(1+$B$6)^(I$34-MAX($D29,2026))-$N29)</f>
        <v/>
      </c>
      <c r="J43" s="25">
        <f>IF(OR($E29="",J$34&lt;$E29),0,IF($B29="Airbnb",$B$7,IF($B29="Long-let",$B$8,0))*$C29*(1+$B$6)^(J$34-MAX($D29,2026))-$N29)</f>
        <v/>
      </c>
      <c r="K43" s="25">
        <f>IF(OR($E29="",K$34&lt;$E29),0,IF($B29="Airbnb",$B$7,IF($B29="Long-let",$B$8,0))*$C29*(1+$B$6)^(K$34-MAX($D29,2026))-$N29)</f>
        <v/>
      </c>
      <c r="L43" s="25">
        <f>IF(OR($E29="",L$34&lt;$E29),0,IF($B29="Airbnb",$B$7,IF($B29="Long-let",$B$8,0))*$C29*(1+$B$6)^(L$34-MAX($D29,2026))-$N29)</f>
        <v/>
      </c>
      <c r="M43" s="25">
        <f>IF(OR($E29="",M$34&lt;$E29),0,IF($B29="Airbnb",$B$7,IF($B29="Long-let",$B$8,0))*$C29*(1+$B$6)^(M$34-MAX($D29,2026))-$N29)</f>
        <v/>
      </c>
      <c r="N43" s="25">
        <f>IF(OR($E29="",N$34&lt;$E29),0,IF($B29="Airbnb",$B$7,IF($B29="Long-let",$B$8,0))*$C29*(1+$B$6)^(N$34-MAX($D29,2026))-$N29)</f>
        <v/>
      </c>
    </row>
    <row r="44">
      <c r="A44" s="26" t="inlineStr">
        <is>
          <t>Total net rent</t>
        </is>
      </c>
      <c r="B44" s="27">
        <f>SUM(B35:B43)</f>
        <v/>
      </c>
      <c r="C44" s="27">
        <f>SUM(C35:C43)</f>
        <v/>
      </c>
      <c r="D44" s="27">
        <f>SUM(D35:D43)</f>
        <v/>
      </c>
      <c r="E44" s="27">
        <f>SUM(E35:E43)</f>
        <v/>
      </c>
      <c r="F44" s="27">
        <f>SUM(F35:F43)</f>
        <v/>
      </c>
      <c r="G44" s="27">
        <f>SUM(G35:G43)</f>
        <v/>
      </c>
      <c r="H44" s="27">
        <f>SUM(H35:H43)</f>
        <v/>
      </c>
      <c r="I44" s="27">
        <f>SUM(I35:I43)</f>
        <v/>
      </c>
      <c r="J44" s="27">
        <f>SUM(J35:J43)</f>
        <v/>
      </c>
      <c r="K44" s="27">
        <f>SUM(K35:K43)</f>
        <v/>
      </c>
      <c r="L44" s="27">
        <f>SUM(L35:L43)</f>
        <v/>
      </c>
      <c r="M44" s="27">
        <f>SUM(M35:M43)</f>
        <v/>
      </c>
      <c r="N44" s="27">
        <f>SUM(N35:N43)</f>
        <v/>
      </c>
    </row>
    <row r="45">
      <c r="A45" s="4" t="inlineStr">
        <is>
          <t>Less: P3 mortgage service</t>
        </is>
      </c>
      <c r="B45" s="28">
        <f>IF(AND($B$17="Y",B$34&gt;=2030,B$34&lt;=$B$16),-$B$15,0)</f>
        <v/>
      </c>
      <c r="C45" s="28">
        <f>IF(AND($B$17="Y",C$34&gt;=2030,C$34&lt;=$B$16),-$B$15,0)</f>
        <v/>
      </c>
      <c r="D45" s="28">
        <f>IF(AND($B$17="Y",D$34&gt;=2030,D$34&lt;=$B$16),-$B$15,0)</f>
        <v/>
      </c>
      <c r="E45" s="28">
        <f>IF(AND($B$17="Y",E$34&gt;=2030,E$34&lt;=$B$16),-$B$15,0)</f>
        <v/>
      </c>
      <c r="F45" s="28">
        <f>IF(AND($B$17="Y",F$34&gt;=2030,F$34&lt;=$B$16),-$B$15,0)</f>
        <v/>
      </c>
      <c r="G45" s="28">
        <f>IF(AND($B$17="Y",G$34&gt;=2030,G$34&lt;=$B$16),-$B$15,0)</f>
        <v/>
      </c>
      <c r="H45" s="28">
        <f>IF(AND($B$17="Y",H$34&gt;=2030,H$34&lt;=$B$16),-$B$15,0)</f>
        <v/>
      </c>
      <c r="I45" s="28">
        <f>IF(AND($B$17="Y",I$34&gt;=2030,I$34&lt;=$B$16),-$B$15,0)</f>
        <v/>
      </c>
      <c r="J45" s="28">
        <f>IF(AND($B$17="Y",J$34&gt;=2030,J$34&lt;=$B$16),-$B$15,0)</f>
        <v/>
      </c>
      <c r="K45" s="28">
        <f>IF(AND($B$17="Y",K$34&gt;=2030,K$34&lt;=$B$16),-$B$15,0)</f>
        <v/>
      </c>
      <c r="L45" s="28">
        <f>IF(AND($B$17="Y",L$34&gt;=2030,L$34&lt;=$B$16),-$B$15,0)</f>
        <v/>
      </c>
      <c r="M45" s="28">
        <f>IF(AND($B$17="Y",M$34&gt;=2030,M$34&lt;=$B$16),-$B$15,0)</f>
        <v/>
      </c>
      <c r="N45" s="28">
        <f>IF(AND($B$17="Y",N$34&gt;=2030,N$34&lt;=$B$16),-$B$15,0)</f>
        <v/>
      </c>
    </row>
    <row r="46">
      <c r="A46" s="26" t="inlineStr">
        <is>
          <t>TOTAL NET INCOME (D)</t>
        </is>
      </c>
      <c r="B46" s="27">
        <f>B44+B45</f>
        <v/>
      </c>
      <c r="C46" s="27">
        <f>C44+C45</f>
        <v/>
      </c>
      <c r="D46" s="27">
        <f>D44+D45</f>
        <v/>
      </c>
      <c r="E46" s="27">
        <f>E44+E45</f>
        <v/>
      </c>
      <c r="F46" s="27">
        <f>F44+F45</f>
        <v/>
      </c>
      <c r="G46" s="27">
        <f>G44+G45</f>
        <v/>
      </c>
      <c r="H46" s="27">
        <f>H44+H45</f>
        <v/>
      </c>
      <c r="I46" s="27">
        <f>I44+I45</f>
        <v/>
      </c>
      <c r="J46" s="27">
        <f>J44+J45</f>
        <v/>
      </c>
      <c r="K46" s="27">
        <f>K44+K45</f>
        <v/>
      </c>
      <c r="L46" s="27">
        <f>L44+L45</f>
        <v/>
      </c>
      <c r="M46" s="27">
        <f>M44+M45</f>
        <v/>
      </c>
      <c r="N46" s="27">
        <f>N44+N45</f>
        <v/>
      </c>
    </row>
    <row r="47">
      <c r="A47" s="4" t="inlineStr">
        <is>
          <t xml:space="preserve">   in GBP '000</t>
        </is>
      </c>
      <c r="B47" s="29">
        <f>B46/$B$5/1000</f>
        <v/>
      </c>
      <c r="C47" s="29">
        <f>C46/$B$5/1000</f>
        <v/>
      </c>
      <c r="D47" s="29">
        <f>D46/$B$5/1000</f>
        <v/>
      </c>
      <c r="E47" s="29">
        <f>E46/$B$5/1000</f>
        <v/>
      </c>
      <c r="F47" s="29">
        <f>F46/$B$5/1000</f>
        <v/>
      </c>
      <c r="G47" s="29">
        <f>G46/$B$5/1000</f>
        <v/>
      </c>
      <c r="H47" s="29">
        <f>H46/$B$5/1000</f>
        <v/>
      </c>
      <c r="I47" s="29">
        <f>I46/$B$5/1000</f>
        <v/>
      </c>
      <c r="J47" s="29">
        <f>J46/$B$5/1000</f>
        <v/>
      </c>
      <c r="K47" s="29">
        <f>K46/$B$5/1000</f>
        <v/>
      </c>
      <c r="L47" s="29">
        <f>L46/$B$5/1000</f>
        <v/>
      </c>
      <c r="M47" s="29">
        <f>M46/$B$5/1000</f>
        <v/>
      </c>
      <c r="N47" s="29">
        <f>N46/$B$5/1000</f>
        <v/>
      </c>
    </row>
    <row r="48">
      <c r="A48" s="4" t="inlineStr">
        <is>
          <t>Milestone</t>
        </is>
      </c>
      <c r="B48" s="30">
        <f>IF(B46&gt;=$B$12,"TARGET",IF(B46&gt;=1500000,"D1.5M",""))</f>
        <v/>
      </c>
      <c r="C48" s="30">
        <f>IF(C46&gt;=$B$12,"TARGET",IF(C46&gt;=1500000,"D1.5M",""))</f>
        <v/>
      </c>
      <c r="D48" s="30">
        <f>IF(D46&gt;=$B$12,"TARGET",IF(D46&gt;=1500000,"D1.5M",""))</f>
        <v/>
      </c>
      <c r="E48" s="30">
        <f>IF(E46&gt;=$B$12,"TARGET",IF(E46&gt;=1500000,"D1.5M",""))</f>
        <v/>
      </c>
      <c r="F48" s="30">
        <f>IF(F46&gt;=$B$12,"TARGET",IF(F46&gt;=1500000,"D1.5M",""))</f>
        <v/>
      </c>
      <c r="G48" s="30">
        <f>IF(G46&gt;=$B$12,"TARGET",IF(G46&gt;=1500000,"D1.5M",""))</f>
        <v/>
      </c>
      <c r="H48" s="30">
        <f>IF(H46&gt;=$B$12,"TARGET",IF(H46&gt;=1500000,"D1.5M",""))</f>
        <v/>
      </c>
      <c r="I48" s="30">
        <f>IF(I46&gt;=$B$12,"TARGET",IF(I46&gt;=1500000,"D1.5M",""))</f>
        <v/>
      </c>
      <c r="J48" s="30">
        <f>IF(J46&gt;=$B$12,"TARGET",IF(J46&gt;=1500000,"D1.5M",""))</f>
        <v/>
      </c>
      <c r="K48" s="30">
        <f>IF(K46&gt;=$B$12,"TARGET",IF(K46&gt;=1500000,"D1.5M",""))</f>
        <v/>
      </c>
      <c r="L48" s="30">
        <f>IF(L46&gt;=$B$12,"TARGET",IF(L46&gt;=1500000,"D1.5M",""))</f>
        <v/>
      </c>
      <c r="M48" s="30">
        <f>IF(M46&gt;=$B$12,"TARGET",IF(M46&gt;=1500000,"D1.5M",""))</f>
        <v/>
      </c>
      <c r="N48" s="30">
        <f>IF(N46&gt;=$B$12,"TARGET",IF(N46&gt;=1500000,"D1.5M",""))</f>
        <v/>
      </c>
    </row>
    <row r="49">
      <c r="A49" s="4" t="inlineStr">
        <is>
          <t>Cash in from Amer</t>
        </is>
      </c>
      <c r="B49" s="29">
        <f>IF(COUNTIF($F$6:$F$15,B$34)=0,0,INDEX($J$6:$J$15,MATCH(B$34,$F$6:$F$15,0)))</f>
        <v/>
      </c>
      <c r="C49" s="29">
        <f>IF(COUNTIF($F$6:$F$15,C$34)=0,0,INDEX($J$6:$J$15,MATCH(C$34,$F$6:$F$15,0)))</f>
        <v/>
      </c>
      <c r="D49" s="29">
        <f>IF(COUNTIF($F$6:$F$15,D$34)=0,0,INDEX($J$6:$J$15,MATCH(D$34,$F$6:$F$15,0)))</f>
        <v/>
      </c>
      <c r="E49" s="29">
        <f>IF(COUNTIF($F$6:$F$15,E$34)=0,0,INDEX($J$6:$J$15,MATCH(E$34,$F$6:$F$15,0)))</f>
        <v/>
      </c>
      <c r="F49" s="29">
        <f>IF(COUNTIF($F$6:$F$15,F$34)=0,0,INDEX($J$6:$J$15,MATCH(F$34,$F$6:$F$15,0)))</f>
        <v/>
      </c>
      <c r="G49" s="29">
        <f>IF(COUNTIF($F$6:$F$15,G$34)=0,0,INDEX($J$6:$J$15,MATCH(G$34,$F$6:$F$15,0)))</f>
        <v/>
      </c>
      <c r="H49" s="29">
        <f>IF(COUNTIF($F$6:$F$15,H$34)=0,0,INDEX($J$6:$J$15,MATCH(H$34,$F$6:$F$15,0)))</f>
        <v/>
      </c>
      <c r="I49" s="29">
        <f>IF(COUNTIF($F$6:$F$15,I$34)=0,0,INDEX($J$6:$J$15,MATCH(I$34,$F$6:$F$15,0)))</f>
        <v/>
      </c>
      <c r="J49" s="29">
        <f>IF(COUNTIF($F$6:$F$15,J$34)=0,0,INDEX($J$6:$J$15,MATCH(J$34,$F$6:$F$15,0)))</f>
        <v/>
      </c>
      <c r="K49" s="29">
        <f>IF(COUNTIF($F$6:$F$15,K$34)=0,0,INDEX($J$6:$J$15,MATCH(K$34,$F$6:$F$15,0)))</f>
        <v/>
      </c>
      <c r="L49" s="29">
        <f>IF(COUNTIF($F$6:$F$15,L$34)=0,0,INDEX($J$6:$J$15,MATCH(L$34,$F$6:$F$15,0)))</f>
        <v/>
      </c>
      <c r="M49" s="29">
        <f>IF(COUNTIF($F$6:$F$15,M$34)=0,0,INDEX($J$6:$J$15,MATCH(M$34,$F$6:$F$15,0)))</f>
        <v/>
      </c>
      <c r="N49" s="29">
        <f>IF(COUNTIF($F$6:$F$15,N$34)=0,0,INDEX($J$6:$J$15,MATCH(N$34,$F$6:$F$15,0)))</f>
        <v/>
      </c>
    </row>
    <row r="50">
      <c r="A50" s="4" t="inlineStr">
        <is>
          <t>Flip cash back</t>
        </is>
      </c>
      <c r="B50" s="29">
        <f>SUMIFS($I$21:$I$29,$F$21:$F$29,B$34)</f>
        <v/>
      </c>
      <c r="C50" s="29">
        <f>SUMIFS($I$21:$I$29,$F$21:$F$29,C$34)</f>
        <v/>
      </c>
      <c r="D50" s="29">
        <f>SUMIFS($I$21:$I$29,$F$21:$F$29,D$34)</f>
        <v/>
      </c>
      <c r="E50" s="29">
        <f>SUMIFS($I$21:$I$29,$F$21:$F$29,E$34)</f>
        <v/>
      </c>
      <c r="F50" s="29">
        <f>SUMIFS($I$21:$I$29,$F$21:$F$29,F$34)</f>
        <v/>
      </c>
      <c r="G50" s="29">
        <f>SUMIFS($I$21:$I$29,$F$21:$F$29,G$34)</f>
        <v/>
      </c>
      <c r="H50" s="29">
        <f>SUMIFS($I$21:$I$29,$F$21:$F$29,H$34)</f>
        <v/>
      </c>
      <c r="I50" s="29">
        <f>SUMIFS($I$21:$I$29,$F$21:$F$29,I$34)</f>
        <v/>
      </c>
      <c r="J50" s="29">
        <f>SUMIFS($I$21:$I$29,$F$21:$F$29,J$34)</f>
        <v/>
      </c>
      <c r="K50" s="29">
        <f>SUMIFS($I$21:$I$29,$F$21:$F$29,K$34)</f>
        <v/>
      </c>
      <c r="L50" s="29">
        <f>SUMIFS($I$21:$I$29,$F$21:$F$29,L$34)</f>
        <v/>
      </c>
      <c r="M50" s="29">
        <f>SUMIFS($I$21:$I$29,$F$21:$F$29,M$34)</f>
        <v/>
      </c>
      <c r="N50" s="29">
        <f>SUMIFS($I$21:$I$29,$F$21:$F$29,N$34)</f>
        <v/>
      </c>
    </row>
    <row r="51">
      <c r="A51" s="4" t="inlineStr">
        <is>
          <t>Cash deployed</t>
        </is>
      </c>
      <c r="B51" s="29">
        <f>SUMPRODUCT(($D$21:$D$29&lt;=B$34)*($K$21:$K$29&gt;B$34)*($J$21:$J$29)/($K$21:$K$29-$D$21:$D$29))</f>
        <v/>
      </c>
      <c r="C51" s="29">
        <f>SUMPRODUCT(($D$21:$D$29&lt;=C$34)*($K$21:$K$29&gt;C$34)*($J$21:$J$29)/($K$21:$K$29-$D$21:$D$29))</f>
        <v/>
      </c>
      <c r="D51" s="29">
        <f>SUMPRODUCT(($D$21:$D$29&lt;=D$34)*($K$21:$K$29&gt;D$34)*($J$21:$J$29)/($K$21:$K$29-$D$21:$D$29))</f>
        <v/>
      </c>
      <c r="E51" s="29">
        <f>SUMPRODUCT(($D$21:$D$29&lt;=E$34)*($K$21:$K$29&gt;E$34)*($J$21:$J$29)/($K$21:$K$29-$D$21:$D$29))</f>
        <v/>
      </c>
      <c r="F51" s="29">
        <f>SUMPRODUCT(($D$21:$D$29&lt;=F$34)*($K$21:$K$29&gt;F$34)*($J$21:$J$29)/($K$21:$K$29-$D$21:$D$29))</f>
        <v/>
      </c>
      <c r="G51" s="29">
        <f>SUMPRODUCT(($D$21:$D$29&lt;=G$34)*($K$21:$K$29&gt;G$34)*($J$21:$J$29)/($K$21:$K$29-$D$21:$D$29))</f>
        <v/>
      </c>
      <c r="H51" s="29">
        <f>SUMPRODUCT(($D$21:$D$29&lt;=H$34)*($K$21:$K$29&gt;H$34)*($J$21:$J$29)/($K$21:$K$29-$D$21:$D$29))</f>
        <v/>
      </c>
      <c r="I51" s="29">
        <f>SUMPRODUCT(($D$21:$D$29&lt;=I$34)*($K$21:$K$29&gt;I$34)*($J$21:$J$29)/($K$21:$K$29-$D$21:$D$29))</f>
        <v/>
      </c>
      <c r="J51" s="29">
        <f>SUMPRODUCT(($D$21:$D$29&lt;=J$34)*($K$21:$K$29&gt;J$34)*($J$21:$J$29)/($K$21:$K$29-$D$21:$D$29))</f>
        <v/>
      </c>
      <c r="K51" s="29">
        <f>SUMPRODUCT(($D$21:$D$29&lt;=K$34)*($K$21:$K$29&gt;K$34)*($J$21:$J$29)/($K$21:$K$29-$D$21:$D$29))</f>
        <v/>
      </c>
      <c r="L51" s="29">
        <f>SUMPRODUCT(($D$21:$D$29&lt;=L$34)*($K$21:$K$29&gt;L$34)*($J$21:$J$29)/($K$21:$K$29-$D$21:$D$29))</f>
        <v/>
      </c>
      <c r="M51" s="29">
        <f>SUMPRODUCT(($D$21:$D$29&lt;=M$34)*($K$21:$K$29&gt;M$34)*($J$21:$J$29)/($K$21:$K$29-$D$21:$D$29))</f>
        <v/>
      </c>
      <c r="N51" s="29">
        <f>SUMPRODUCT(($D$21:$D$29&lt;=N$34)*($K$21:$K$29&gt;N$34)*($J$21:$J$29)/($K$21:$K$29-$D$21:$D$29))</f>
        <v/>
      </c>
    </row>
    <row r="52">
      <c r="A52" s="4" t="inlineStr">
        <is>
          <t>P3 handover 60% / principal</t>
        </is>
      </c>
      <c r="B52" s="29">
        <f>IF($B$17="Y",IF(B$34=$B$16,0.6*$C$23,0),IF(B$34=2030,0.6*$C$23,0))</f>
        <v/>
      </c>
      <c r="C52" s="29">
        <f>IF($B$17="Y",IF(C$34=$B$16,0.6*$C$23,0),IF(C$34=2030,0.6*$C$23,0))</f>
        <v/>
      </c>
      <c r="D52" s="29">
        <f>IF($B$17="Y",IF(D$34=$B$16,0.6*$C$23,0),IF(D$34=2030,0.6*$C$23,0))</f>
        <v/>
      </c>
      <c r="E52" s="29">
        <f>IF($B$17="Y",IF(E$34=$B$16,0.6*$C$23,0),IF(E$34=2030,0.6*$C$23,0))</f>
        <v/>
      </c>
      <c r="F52" s="29">
        <f>IF($B$17="Y",IF(F$34=$B$16,0.6*$C$23,0),IF(F$34=2030,0.6*$C$23,0))</f>
        <v/>
      </c>
      <c r="G52" s="29">
        <f>IF($B$17="Y",IF(G$34=$B$16,0.6*$C$23,0),IF(G$34=2030,0.6*$C$23,0))</f>
        <v/>
      </c>
      <c r="H52" s="29">
        <f>IF($B$17="Y",IF(H$34=$B$16,0.6*$C$23,0),IF(H$34=2030,0.6*$C$23,0))</f>
        <v/>
      </c>
      <c r="I52" s="29">
        <f>IF($B$17="Y",IF(I$34=$B$16,0.6*$C$23,0),IF(I$34=2030,0.6*$C$23,0))</f>
        <v/>
      </c>
      <c r="J52" s="29">
        <f>IF($B$17="Y",IF(J$34=$B$16,0.6*$C$23,0),IF(J$34=2030,0.6*$C$23,0))</f>
        <v/>
      </c>
      <c r="K52" s="29">
        <f>IF($B$17="Y",IF(K$34=$B$16,0.6*$C$23,0),IF(K$34=2030,0.6*$C$23,0))</f>
        <v/>
      </c>
      <c r="L52" s="29">
        <f>IF($B$17="Y",IF(L$34=$B$16,0.6*$C$23,0),IF(L$34=2030,0.6*$C$23,0))</f>
        <v/>
      </c>
      <c r="M52" s="29">
        <f>IF($B$17="Y",IF(M$34=$B$16,0.6*$C$23,0),IF(M$34=2030,0.6*$C$23,0))</f>
        <v/>
      </c>
      <c r="N52" s="29">
        <f>IF($B$17="Y",IF(N$34=$B$16,0.6*$C$23,0),IF(N$34=2030,0.6*$C$23,0))</f>
        <v/>
      </c>
    </row>
    <row r="53">
      <c r="A53" s="26" t="inlineStr">
        <is>
          <t>Cash pot (cumulative)</t>
        </is>
      </c>
      <c r="B53" s="27">
        <f>B46+B49+B50-B51-B52</f>
        <v/>
      </c>
      <c r="C53" s="27">
        <f>B53+C46+C49+C50-C51-C52</f>
        <v/>
      </c>
      <c r="D53" s="27">
        <f>C53+D46+D49+D50-D51-D52</f>
        <v/>
      </c>
      <c r="E53" s="27">
        <f>D53+E46+E49+E50-E51-E52</f>
        <v/>
      </c>
      <c r="F53" s="27">
        <f>E53+F46+F49+F50-F51-F52</f>
        <v/>
      </c>
      <c r="G53" s="27">
        <f>F53+G46+G49+G50-G51-G52</f>
        <v/>
      </c>
      <c r="H53" s="27">
        <f>G53+H46+H49+H50-H51-H52</f>
        <v/>
      </c>
      <c r="I53" s="27">
        <f>H53+I46+I49+I50-I51-I52</f>
        <v/>
      </c>
      <c r="J53" s="27">
        <f>I53+J46+J49+J50-J51-J52</f>
        <v/>
      </c>
      <c r="K53" s="27">
        <f>J53+K46+K49+K50-K51-K52</f>
        <v/>
      </c>
      <c r="L53" s="27">
        <f>K53+L46+L49+L50-L51-L52</f>
        <v/>
      </c>
      <c r="M53" s="27">
        <f>L53+M46+M49+M50-M51-M52</f>
        <v/>
      </c>
      <c r="N53" s="27">
        <f>M53+N46+N49+N50-N51-N52</f>
        <v/>
      </c>
    </row>
    <row r="54">
      <c r="A54" s="4" t="inlineStr">
        <is>
          <t>Funding check</t>
        </is>
      </c>
      <c r="B54" s="30">
        <f>IF(B53&lt;0,"UNDERFUNDED","ok")</f>
        <v/>
      </c>
      <c r="C54" s="30">
        <f>IF(C53&lt;0,"UNDERFUNDED","ok")</f>
        <v/>
      </c>
      <c r="D54" s="30">
        <f>IF(D53&lt;0,"UNDERFUNDED","ok")</f>
        <v/>
      </c>
      <c r="E54" s="30">
        <f>IF(E53&lt;0,"UNDERFUNDED","ok")</f>
        <v/>
      </c>
      <c r="F54" s="30">
        <f>IF(F53&lt;0,"UNDERFUNDED","ok")</f>
        <v/>
      </c>
      <c r="G54" s="30">
        <f>IF(G53&lt;0,"UNDERFUNDED","ok")</f>
        <v/>
      </c>
      <c r="H54" s="30">
        <f>IF(H53&lt;0,"UNDERFUNDED","ok")</f>
        <v/>
      </c>
      <c r="I54" s="30">
        <f>IF(I53&lt;0,"UNDERFUNDED","ok")</f>
        <v/>
      </c>
      <c r="J54" s="30">
        <f>IF(J53&lt;0,"UNDERFUNDED","ok")</f>
        <v/>
      </c>
      <c r="K54" s="30">
        <f>IF(K53&lt;0,"UNDERFUNDED","ok")</f>
        <v/>
      </c>
      <c r="L54" s="30">
        <f>IF(L53&lt;0,"UNDERFUNDED","ok")</f>
        <v/>
      </c>
      <c r="M54" s="30">
        <f>IF(M53&lt;0,"UNDERFUNDED","ok")</f>
        <v/>
      </c>
      <c r="N54" s="30">
        <f>IF(N53&lt;0,"UNDERFUNDED","ok")</f>
        <v/>
      </c>
    </row>
    <row r="55">
      <c r="A55" s="4" t="inlineStr">
        <is>
          <t>Cumulative cash deployed</t>
        </is>
      </c>
      <c r="B55" s="29">
        <f>B51+B52</f>
        <v/>
      </c>
      <c r="C55" s="29">
        <f>B55+C51+C52</f>
        <v/>
      </c>
      <c r="D55" s="29">
        <f>C55+D51+D52</f>
        <v/>
      </c>
      <c r="E55" s="29">
        <f>D55+E51+E52</f>
        <v/>
      </c>
      <c r="F55" s="29">
        <f>E55+F51+F52</f>
        <v/>
      </c>
      <c r="G55" s="29">
        <f>F55+G51+G52</f>
        <v/>
      </c>
      <c r="H55" s="29">
        <f>G55+H51+H52</f>
        <v/>
      </c>
      <c r="I55" s="29">
        <f>H55+I51+I52</f>
        <v/>
      </c>
      <c r="J55" s="29">
        <f>I55+J51+J52</f>
        <v/>
      </c>
      <c r="K55" s="29">
        <f>J55+K51+K52</f>
        <v/>
      </c>
      <c r="L55" s="29">
        <f>K55+L51+L52</f>
        <v/>
      </c>
      <c r="M55" s="29">
        <f>L55+M51+M52</f>
        <v/>
      </c>
      <c r="N55" s="29">
        <f>M55+N51+N52</f>
        <v/>
      </c>
    </row>
    <row r="58">
      <c r="A58" s="3" t="inlineStr">
        <is>
          <t>READ-OUT</t>
        </is>
      </c>
    </row>
    <row r="59">
      <c r="A59" s="26" t="inlineStr">
        <is>
          <t>Net income 2036 (D)</t>
        </is>
      </c>
      <c r="B59" s="31">
        <f>INDEX($B$46:$N$46,MATCH(2036,$B$34:$N$34,0))</f>
        <v/>
      </c>
    </row>
    <row r="60">
      <c r="A60" s="26" t="inlineStr">
        <is>
          <t>Year D1.5M crossed</t>
        </is>
      </c>
      <c r="B60" s="32">
        <f>IF(COUNTIF($B$46:$N$46,"&lt;"&amp;1500000)&gt;=13,"after 2038",2026+COUNTIF($B$46:$N$46,"&lt;"&amp;1500000))</f>
        <v/>
      </c>
    </row>
    <row r="61">
      <c r="A61" s="26" t="inlineStr">
        <is>
          <t>Year target crossed</t>
        </is>
      </c>
      <c r="B61" s="32">
        <f>IF(COUNTIF($B$46:$N$46,"&lt;"&amp;$B$12)&gt;=13,"after 2038",2026+COUNTIF($B$46:$N$46,"&lt;"&amp;$B$12))</f>
        <v/>
      </c>
    </row>
    <row r="62">
      <c r="A62" s="26" t="inlineStr">
        <is>
          <t>Portfolio value 2036 (D)</t>
        </is>
      </c>
      <c r="B62" s="31">
        <f>L30</f>
        <v/>
      </c>
    </row>
    <row r="63">
      <c r="A63" s="26" t="inlineStr">
        <is>
          <t>Total new cash in (GBP '000)</t>
        </is>
      </c>
      <c r="B63" s="31">
        <f>SUM($J$6:$J$15)/$B$5/1000</f>
        <v/>
      </c>
    </row>
    <row r="64">
      <c r="A64" s="26" t="inlineStr">
        <is>
          <t>Cash pot end 2036 (D)</t>
        </is>
      </c>
      <c r="B64" s="31">
        <f>INDEX($B$53:$N$53,MATCH(2036,$B$34:$N$34,0))</f>
        <v/>
      </c>
    </row>
    <row r="65">
      <c r="A65" s="26" t="inlineStr">
        <is>
          <t>Cash pot end 2038 (D)</t>
        </is>
      </c>
      <c r="B65" s="31">
        <f>N53</f>
        <v/>
      </c>
    </row>
    <row r="68">
      <c r="A68" s="3" t="inlineStr">
        <is>
          <t>HOW TO USE</t>
        </is>
      </c>
    </row>
    <row r="69">
      <c r="A69" s="33" t="inlineStr">
        <is>
          <t>1. Pick scenario A / B / C in the yellow box (B13) - it changes the cash-in column only.</t>
        </is>
      </c>
    </row>
    <row r="70">
      <c r="A70" s="33" t="inlineStr">
        <is>
          <t>2. Yellow cells are yours to edit: yields, appreciation, prices, buy/exit years, cash per year.</t>
        </is>
      </c>
    </row>
    <row r="71">
      <c r="A71" s="33" t="inlineStr">
        <is>
          <t>3. The Funding check row goes UNDERFUNDED (red) when the pot runs dry - push buy years later or add cash.</t>
        </is>
      </c>
    </row>
    <row r="72">
      <c r="A72" s="33" t="inlineStr">
        <is>
          <t>4. Flip cash back assumes appreciation on FULL unit value while only the paid-in % is your cash - that is the engine.</t>
        </is>
      </c>
    </row>
    <row r="73">
      <c r="A73" s="33" t="inlineStr">
        <is>
          <t>5. Mortgage toggle (B17): N pays P3 60% in cash at 2030 - then P4 ~2033 and P5 ~2036 (or P4 at D3M in 2032) keeps the pot green.</t>
        </is>
      </c>
    </row>
    <row r="74">
      <c r="A74" s="33" t="inlineStr">
        <is>
          <t>6. Yields are before service charges - the Svc chg column deducts D10K/yr (townhouse-villa) or D15-20K/yr (apartments) per unit.</t>
        </is>
      </c>
    </row>
    <row r="75">
      <c r="A75" s="33" t="inlineStr">
        <is>
          <t>7. All figures indicative. Appreciation and yields are assumptions from Calum's 4-7 Aug 2026 notes, not promises.</t>
        </is>
      </c>
    </row>
  </sheetData>
  <mergeCells count="6">
    <mergeCell ref="A68:C68"/>
    <mergeCell ref="A19:O19"/>
    <mergeCell ref="A58:C58"/>
    <mergeCell ref="A33:N33"/>
    <mergeCell ref="A4:C4"/>
    <mergeCell ref="F4:J4"/>
  </mergeCells>
  <conditionalFormatting sqref="B46:N46">
    <cfRule type="expression" priority="1" dxfId="0">
      <formula>B46&gt;=$B$12</formula>
    </cfRule>
  </conditionalFormatting>
  <conditionalFormatting sqref="B53:N54">
    <cfRule type="expression" priority="2" dxfId="1">
      <formula>B$53&lt;0</formula>
    </cfRule>
  </conditionalFormatting>
  <dataValidations count="3">
    <dataValidation sqref="B13" showDropDown="0" showInputMessage="0" showErrorMessage="0" allowBlank="0" type="list">
      <formula1>"A,B,C"</formula1>
    </dataValidation>
    <dataValidation sqref="B17" showDropDown="0" showInputMessage="0" showErrorMessage="0" allowBlank="0" type="list">
      <formula1>"Y,N"</formula1>
    </dataValidation>
    <dataValidation sqref="B21:B29" showDropDown="0" showInputMessage="0" showErrorMessage="0" allowBlank="0" type="list">
      <formula1>"Airbnb,Long-let,Flip"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2026-08-07T15:35:29Z</dcterms:created>
  <dcterms:modified xmlns:dcterms="http://purl.org/dc/terms/" xmlns:xsi="http://www.w3.org/2001/XMLSchema-instance" xsi:type="dcterms:W3CDTF">2026-08-07T15:35:29Z</dcterms:modified>
</cp:coreProperties>
</file>