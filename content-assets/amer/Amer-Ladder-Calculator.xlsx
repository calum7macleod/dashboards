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dder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<sst xmlns="http://schemas.openxmlformats.org/spreadsheetml/2006/main" count="39" uniqueCount="39">
  <si>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THE LADDER - AMER'S PLAN CALCULATOR</t>
  </si>
  <si>
    <t xml:space="preserve">Edit the YELLOW cells only - everything else recalculates. Plan, not promise: all figures indicative.</t>
  </si>
  <si>
    <t xml:space="preserve">INPUTS</t>
  </si>
  <si>
    <t xml:space="preserve">Starting capital (GBP)</t>
  </si>
  <si>
    <t xml:space="preserve">cash available on day one</t>
  </si>
  <si>
    <t xml:space="preserve">Annual top-up (GBP)</t>
  </si>
  <si>
    <t xml:space="preserve">new cash added per year - goes into live payment plans, not parked</t>
  </si>
  <si>
    <t xml:space="preserve">Cycle length (years)</t>
  </si>
  <si>
    <t xml:space="preserve">buy-to-sold; shorter = less likely to go to plan</t>
  </si>
  <si>
    <t xml:space="preserve">Target (GBP)</t>
  </si>
  <si>
    <t xml:space="preserve">the number we're climbing to - highlighted below when hit</t>
  </si>
  <si>
    <t xml:space="preserve">Target ROE per cycle</t>
  </si>
  <si>
    <t xml:space="preserve">return on YOUR cash per cycle - plan at 50%, treat more as upside</t>
  </si>
  <si>
    <t xml:space="preserve">AED per GBP</t>
  </si>
  <si>
    <t xml:space="preserve">video convention GBP1 = D5; edit for live rate</t>
  </si>
  <si>
    <t xml:space="preserve">SANITY CHECK - what drives that ROE</t>
  </si>
  <si>
    <t xml:space="preserve">Market ROI per cycle (property growth)</t>
  </si>
  <si>
    <t xml:space="preserve">what the PROPERTY grows - indicative</t>
  </si>
  <si>
    <t xml:space="preserve">Payment plan deposit %</t>
  </si>
  <si>
    <t xml:space="preserve">50/50 plan = 50%; a 40/60 plan = 40% (more leverage on your cash)</t>
  </si>
  <si>
    <t xml:space="preserve">Costs allowance %</t>
  </si>
  <si>
    <t xml:space="preserve">optional buffer, set 0 to ignore</t>
  </si>
  <si>
    <t xml:space="preserve">Implied ROE from those three</t>
  </si>
  <si>
    <t xml:space="preserve">(property ROI - allowance) / deposit -&gt; compare with your target</t>
  </si>
  <si>
    <t xml:space="preserve">THE LADDER - 15 rungs, gold row = target hit</t>
  </si>
  <si>
    <t xml:space="preserve">Cycle</t>
  </si>
  <si>
    <t xml:space="preserve">Year start</t>
  </si>
  <si>
    <t xml:space="preserve">Cash in (£)</t>
  </si>
  <si>
    <t xml:space="preserve">Growth (£)</t>
  </si>
  <si>
    <t xml:space="preserve">Top-ups added (£)</t>
  </si>
  <si>
    <t xml:space="preserve">Cash out (£)</t>
  </si>
  <si>
    <t xml:space="preserve">Cash out (Đ)</t>
  </si>
  <si>
    <t xml:space="preserve">Target?</t>
  </si>
  <si>
    <t xml:space="preserve">ANSWER</t>
  </si>
  <si>
    <t xml:space="preserve">rungs to target</t>
  </si>
  <si>
    <t xml:space="preserve">years</t>
  </si>
  <si>
    <t xml:space="preserve">cash at that rung</t>
  </si>
  <si>
    <t xml:space="preserve">Legend: YELLOW cells = yours to edit (blue text). Black = formulas, leave alone. Gold row = the rung your target lands.</t>
  </si>
  <si>
    <t xml:space="preserve">Rails: shorter cycles or ROE targets above 50% make the plan less likely to hold. Units don't stay small - bigger projects as cash grows, same discipline.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</si>
</sst>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"/>
    <numFmt numFmtId="166" formatCode="0.0"/>
    <numFmt numFmtId="167" formatCode="0.0%"/>
    <numFmt numFmtId="168" formatCode="0.00"/>
    <numFmt numFmtId="169" formatCode="#,##0"/>
    <numFmt numFmtId="170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9A84C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7A642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7A642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52A1F"/>
        <bgColor rgb="FF1E3D2F"/>
      </patternFill>
    </fill>
    <fill>
      <patternFill patternType="solid">
        <fgColor rgb="FFFFFF00"/>
        <bgColor rgb="FFFFFF00"/>
      </patternFill>
    </fill>
    <fill>
      <patternFill patternType="solid">
        <fgColor rgb="FF1E3D2F"/>
        <bgColor rgb="FF152A1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3E4B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42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4B5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152A1F"/>
      <rgbColor rgb="FF333300"/>
      <rgbColor rgb="FF993300"/>
      <rgbColor rgb="FF993366"/>
      <rgbColor rgb="FF333399"/>
      <rgbColor rgb="FF1E3D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8" min="2" style="1" width="15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4" t="s">
        <v>1</v>
      </c>
    </row>
    <row r="4" customFormat="false" ht="15" hidden="false" customHeight="true" outlineLevel="0" collapsed="false">
      <c r="A4" s="5" t="s">
        <v>2</v>
      </c>
    </row>
    <row r="5" customFormat="false" ht="15" hidden="false" customHeight="true" outlineLevel="0" collapsed="false">
      <c r="A5" s="6" t="s">
        <v>3</v>
      </c>
      <c r="B5" s="7" t="n">
        <v>400000</v>
      </c>
      <c r="C5" s="8" t="s">
        <v>4</v>
      </c>
    </row>
    <row r="6" customFormat="false" ht="15" hidden="false" customHeight="true" outlineLevel="0" collapsed="false">
      <c r="A6" s="6" t="s">
        <v>5</v>
      </c>
      <c r="B6" s="7" t="n">
        <v>100000</v>
      </c>
      <c r="C6" s="8" t="s">
        <v>6</v>
      </c>
    </row>
    <row r="7" customFormat="false" ht="15" hidden="false" customHeight="true" outlineLevel="0" collapsed="false">
      <c r="A7" s="6" t="s">
        <v>7</v>
      </c>
      <c r="B7" s="9" t="n">
        <v>3.5</v>
      </c>
      <c r="C7" s="8" t="s">
        <v>8</v>
      </c>
    </row>
    <row r="8" customFormat="false" ht="15" hidden="false" customHeight="true" outlineLevel="0" collapsed="false">
      <c r="A8" s="6" t="s">
        <v>9</v>
      </c>
      <c r="B8" s="7" t="n">
        <v>3200000</v>
      </c>
      <c r="C8" s="8" t="s">
        <v>10</v>
      </c>
    </row>
    <row r="9" customFormat="false" ht="15" hidden="false" customHeight="true" outlineLevel="0" collapsed="false">
      <c r="A9" s="6" t="s">
        <v>11</v>
      </c>
      <c r="B9" s="10" t="n">
        <v>0.5</v>
      </c>
      <c r="C9" s="8" t="s">
        <v>12</v>
      </c>
    </row>
    <row r="10" customFormat="false" ht="15" hidden="false" customHeight="true" outlineLevel="0" collapsed="false">
      <c r="A10" s="6" t="s">
        <v>13</v>
      </c>
      <c r="B10" s="11" t="n">
        <v>5</v>
      </c>
      <c r="C10" s="8" t="s">
        <v>14</v>
      </c>
    </row>
    <row r="11" customFormat="false" ht="15" hidden="false" customHeight="true" outlineLevel="0" collapsed="false">
      <c r="A11" s="5" t="s">
        <v>15</v>
      </c>
    </row>
    <row r="12" customFormat="false" ht="15" hidden="false" customHeight="true" outlineLevel="0" collapsed="false">
      <c r="A12" s="6" t="s">
        <v>16</v>
      </c>
      <c r="B12" s="10" t="n">
        <v>0.3</v>
      </c>
      <c r="C12" s="8" t="s">
        <v>17</v>
      </c>
    </row>
    <row r="13" customFormat="false" ht="15" hidden="false" customHeight="true" outlineLevel="0" collapsed="false">
      <c r="A13" s="6" t="s">
        <v>18</v>
      </c>
      <c r="B13" s="10" t="n">
        <v>0.5</v>
      </c>
      <c r="C13" s="8" t="s">
        <v>19</v>
      </c>
    </row>
    <row r="14" customFormat="false" ht="15" hidden="false" customHeight="true" outlineLevel="0" collapsed="false">
      <c r="A14" s="6" t="s">
        <v>20</v>
      </c>
      <c r="B14" s="10" t="n">
        <v>0</v>
      </c>
      <c r="C14" s="8" t="s">
        <v>21</v>
      </c>
    </row>
    <row r="15" customFormat="false" ht="15" hidden="false" customHeight="true" outlineLevel="0" collapsed="false">
      <c r="A15" s="6" t="s">
        <v>22</v>
      </c>
      <c r="B15" s="12" t="n">
        <f aca="false">(B12-B14)/B13</f>
        <v>0.6</v>
      </c>
      <c r="C15" s="8" t="s">
        <v>23</v>
      </c>
    </row>
    <row r="17" customFormat="false" ht="15" hidden="false" customHeight="true" outlineLevel="0" collapsed="false">
      <c r="A17" s="5" t="s">
        <v>24</v>
      </c>
    </row>
    <row r="18" customFormat="false" ht="15" hidden="false" customHeight="true" outlineLevel="0" collapsed="false">
      <c r="A18" s="13" t="s">
        <v>25</v>
      </c>
      <c r="B18" s="13" t="s">
        <v>26</v>
      </c>
      <c r="C18" s="13" t="s">
        <v>27</v>
      </c>
      <c r="D18" s="13" t="s">
        <v>28</v>
      </c>
      <c r="E18" s="13" t="s">
        <v>29</v>
      </c>
      <c r="F18" s="13" t="s">
        <v>30</v>
      </c>
      <c r="G18" s="13" t="s">
        <v>31</v>
      </c>
      <c r="H18" s="13" t="s">
        <v>32</v>
      </c>
    </row>
    <row r="19" customFormat="false" ht="15" hidden="false" customHeight="true" outlineLevel="0" collapsed="false">
      <c r="A19" s="14" t="n">
        <v>1</v>
      </c>
      <c r="B19" s="14" t="n">
        <f aca="false">ROUND((1-1)*$B7,1)</f>
        <v>0</v>
      </c>
      <c r="C19" s="15" t="n">
        <f aca="false">$B5</f>
        <v>400000</v>
      </c>
      <c r="D19" s="15" t="n">
        <f aca="false">C19*$B9</f>
        <v>200000</v>
      </c>
      <c r="E19" s="15" t="n">
        <f aca="false">$B6*$B7</f>
        <v>350000</v>
      </c>
      <c r="F19" s="15" t="n">
        <f aca="false">C19+D19+E19</f>
        <v>950000</v>
      </c>
      <c r="G19" s="16" t="n">
        <f aca="false">F19*$B10</f>
        <v>4750000</v>
      </c>
      <c r="H19" s="17" t="str">
        <f aca="false">IF(F19&gt;=$B8,"TARGET HIT","")</f>
        <v/>
      </c>
    </row>
    <row r="20" customFormat="false" ht="15" hidden="false" customHeight="true" outlineLevel="0" collapsed="false">
      <c r="A20" s="14" t="n">
        <v>2</v>
      </c>
      <c r="B20" s="14" t="n">
        <f aca="false">ROUND((2-1)*$B7,1)</f>
        <v>3.5</v>
      </c>
      <c r="C20" s="15" t="n">
        <f aca="false">F19</f>
        <v>950000</v>
      </c>
      <c r="D20" s="15" t="n">
        <f aca="false">C20*$B9</f>
        <v>475000</v>
      </c>
      <c r="E20" s="15" t="n">
        <f aca="false">$B6*$B7</f>
        <v>350000</v>
      </c>
      <c r="F20" s="15" t="n">
        <f aca="false">C20+D20+E20</f>
        <v>1775000</v>
      </c>
      <c r="G20" s="16" t="n">
        <f aca="false">F20*$B10</f>
        <v>8875000</v>
      </c>
      <c r="H20" s="17" t="str">
        <f aca="false">IF(F20&gt;=$B8,"TARGET HIT","")</f>
        <v/>
      </c>
    </row>
    <row r="21" customFormat="false" ht="15" hidden="false" customHeight="true" outlineLevel="0" collapsed="false">
      <c r="A21" s="14" t="n">
        <v>3</v>
      </c>
      <c r="B21" s="14" t="n">
        <f aca="false">ROUND((3-1)*$B7,1)</f>
        <v>7</v>
      </c>
      <c r="C21" s="15" t="n">
        <f aca="false">F20</f>
        <v>1775000</v>
      </c>
      <c r="D21" s="15" t="n">
        <f aca="false">C21*$B9</f>
        <v>887500</v>
      </c>
      <c r="E21" s="15" t="n">
        <f aca="false">$B6*$B7</f>
        <v>350000</v>
      </c>
      <c r="F21" s="15" t="n">
        <f aca="false">C21+D21+E21</f>
        <v>3012500</v>
      </c>
      <c r="G21" s="16" t="n">
        <f aca="false">F21*$B10</f>
        <v>15062500</v>
      </c>
      <c r="H21" s="17" t="str">
        <f aca="false">IF(F21&gt;=$B8,"TARGET HIT","")</f>
        <v/>
      </c>
    </row>
    <row r="22" customFormat="false" ht="15" hidden="false" customHeight="true" outlineLevel="0" collapsed="false">
      <c r="A22" s="14" t="n">
        <v>4</v>
      </c>
      <c r="B22" s="14" t="n">
        <f aca="false">ROUND((4-1)*$B7,1)</f>
        <v>10.5</v>
      </c>
      <c r="C22" s="15" t="n">
        <f aca="false">F21</f>
        <v>3012500</v>
      </c>
      <c r="D22" s="15" t="n">
        <f aca="false">C22*$B9</f>
        <v>1506250</v>
      </c>
      <c r="E22" s="15" t="n">
        <f aca="false">$B6*$B7</f>
        <v>350000</v>
      </c>
      <c r="F22" s="15" t="n">
        <f aca="false">C22+D22+E22</f>
        <v>4868750</v>
      </c>
      <c r="G22" s="16" t="n">
        <f aca="false">F22*$B10</f>
        <v>24343750</v>
      </c>
      <c r="H22" s="17" t="str">
        <f aca="false">IF(F22&gt;=$B8,"TARGET HIT","")</f>
        <v>TARGET HIT</v>
      </c>
    </row>
    <row r="23" customFormat="false" ht="15" hidden="false" customHeight="true" outlineLevel="0" collapsed="false">
      <c r="A23" s="14" t="n">
        <v>5</v>
      </c>
      <c r="B23" s="14" t="n">
        <f aca="false">ROUND((5-1)*$B7,1)</f>
        <v>14</v>
      </c>
      <c r="C23" s="15" t="n">
        <f aca="false">F22</f>
        <v>4868750</v>
      </c>
      <c r="D23" s="15" t="n">
        <f aca="false">C23*$B9</f>
        <v>2434375</v>
      </c>
      <c r="E23" s="15" t="n">
        <f aca="false">$B6*$B7</f>
        <v>350000</v>
      </c>
      <c r="F23" s="15" t="n">
        <f aca="false">C23+D23+E23</f>
        <v>7653125</v>
      </c>
      <c r="G23" s="16" t="n">
        <f aca="false">F23*$B10</f>
        <v>38265625</v>
      </c>
      <c r="H23" s="17" t="str">
        <f aca="false">IF(F23&gt;=$B8,"TARGET HIT","")</f>
        <v>TARGET HIT</v>
      </c>
    </row>
    <row r="24" customFormat="false" ht="15" hidden="false" customHeight="true" outlineLevel="0" collapsed="false">
      <c r="A24" s="14" t="n">
        <v>6</v>
      </c>
      <c r="B24" s="14" t="n">
        <f aca="false">ROUND((6-1)*$B7,1)</f>
        <v>17.5</v>
      </c>
      <c r="C24" s="15" t="n">
        <f aca="false">F23</f>
        <v>7653125</v>
      </c>
      <c r="D24" s="15" t="n">
        <f aca="false">C24*$B9</f>
        <v>3826562.5</v>
      </c>
      <c r="E24" s="15" t="n">
        <f aca="false">$B6*$B7</f>
        <v>350000</v>
      </c>
      <c r="F24" s="15" t="n">
        <f aca="false">C24+D24+E24</f>
        <v>11829687.5</v>
      </c>
      <c r="G24" s="16" t="n">
        <f aca="false">F24*$B10</f>
        <v>59148437.5</v>
      </c>
      <c r="H24" s="17" t="str">
        <f aca="false">IF(F24&gt;=$B8,"TARGET HIT","")</f>
        <v>TARGET HIT</v>
      </c>
    </row>
    <row r="25" customFormat="false" ht="15" hidden="false" customHeight="true" outlineLevel="0" collapsed="false">
      <c r="A25" s="14" t="n">
        <v>7</v>
      </c>
      <c r="B25" s="14" t="n">
        <f aca="false">ROUND((7-1)*$B7,1)</f>
        <v>21</v>
      </c>
      <c r="C25" s="15" t="n">
        <f aca="false">F24</f>
        <v>11829687.5</v>
      </c>
      <c r="D25" s="15" t="n">
        <f aca="false">C25*$B9</f>
        <v>5914843.75</v>
      </c>
      <c r="E25" s="15" t="n">
        <f aca="false">$B6*$B7</f>
        <v>350000</v>
      </c>
      <c r="F25" s="15" t="n">
        <f aca="false">C25+D25+E25</f>
        <v>18094531.25</v>
      </c>
      <c r="G25" s="16" t="n">
        <f aca="false">F25*$B10</f>
        <v>90472656.25</v>
      </c>
      <c r="H25" s="17" t="str">
        <f aca="false">IF(F25&gt;=$B8,"TARGET HIT","")</f>
        <v>TARGET HIT</v>
      </c>
    </row>
    <row r="26" customFormat="false" ht="15" hidden="false" customHeight="true" outlineLevel="0" collapsed="false">
      <c r="A26" s="14" t="n">
        <v>8</v>
      </c>
      <c r="B26" s="14" t="n">
        <f aca="false">ROUND((8-1)*$B7,1)</f>
        <v>24.5</v>
      </c>
      <c r="C26" s="15" t="n">
        <f aca="false">F25</f>
        <v>18094531.25</v>
      </c>
      <c r="D26" s="15" t="n">
        <f aca="false">C26*$B9</f>
        <v>9047265.625</v>
      </c>
      <c r="E26" s="15" t="n">
        <f aca="false">$B6*$B7</f>
        <v>350000</v>
      </c>
      <c r="F26" s="15" t="n">
        <f aca="false">C26+D26+E26</f>
        <v>27491796.875</v>
      </c>
      <c r="G26" s="16" t="n">
        <f aca="false">F26*$B10</f>
        <v>137458984.375</v>
      </c>
      <c r="H26" s="17" t="str">
        <f aca="false">IF(F26&gt;=$B8,"TARGET HIT","")</f>
        <v>TARGET HIT</v>
      </c>
    </row>
    <row r="27" customFormat="false" ht="15" hidden="false" customHeight="true" outlineLevel="0" collapsed="false">
      <c r="A27" s="14" t="n">
        <v>9</v>
      </c>
      <c r="B27" s="14" t="n">
        <f aca="false">ROUND((9-1)*$B7,1)</f>
        <v>28</v>
      </c>
      <c r="C27" s="15" t="n">
        <f aca="false">F26</f>
        <v>27491796.875</v>
      </c>
      <c r="D27" s="15" t="n">
        <f aca="false">C27*$B9</f>
        <v>13745898.4375</v>
      </c>
      <c r="E27" s="15" t="n">
        <f aca="false">$B6*$B7</f>
        <v>350000</v>
      </c>
      <c r="F27" s="15" t="n">
        <f aca="false">C27+D27+E27</f>
        <v>41587695.3125</v>
      </c>
      <c r="G27" s="16" t="n">
        <f aca="false">F27*$B10</f>
        <v>207938476.5625</v>
      </c>
      <c r="H27" s="17" t="str">
        <f aca="false">IF(F27&gt;=$B8,"TARGET HIT","")</f>
        <v>TARGET HIT</v>
      </c>
    </row>
    <row r="28" customFormat="false" ht="15" hidden="false" customHeight="true" outlineLevel="0" collapsed="false">
      <c r="A28" s="14" t="n">
        <v>10</v>
      </c>
      <c r="B28" s="14" t="n">
        <f aca="false">ROUND((10-1)*$B7,1)</f>
        <v>31.5</v>
      </c>
      <c r="C28" s="15" t="n">
        <f aca="false">F27</f>
        <v>41587695.3125</v>
      </c>
      <c r="D28" s="15" t="n">
        <f aca="false">C28*$B9</f>
        <v>20793847.65625</v>
      </c>
      <c r="E28" s="15" t="n">
        <f aca="false">$B6*$B7</f>
        <v>350000</v>
      </c>
      <c r="F28" s="15" t="n">
        <f aca="false">C28+D28+E28</f>
        <v>62731542.96875</v>
      </c>
      <c r="G28" s="16" t="n">
        <f aca="false">F28*$B10</f>
        <v>313657714.84375</v>
      </c>
      <c r="H28" s="17" t="str">
        <f aca="false">IF(F28&gt;=$B8,"TARGET HIT","")</f>
        <v>TARGET HIT</v>
      </c>
    </row>
    <row r="29" customFormat="false" ht="15" hidden="false" customHeight="true" outlineLevel="0" collapsed="false">
      <c r="A29" s="14" t="n">
        <v>11</v>
      </c>
      <c r="B29" s="14" t="n">
        <f aca="false">ROUND((11-1)*$B7,1)</f>
        <v>35</v>
      </c>
      <c r="C29" s="15" t="n">
        <f aca="false">F28</f>
        <v>62731542.96875</v>
      </c>
      <c r="D29" s="15" t="n">
        <f aca="false">C29*$B9</f>
        <v>31365771.484375</v>
      </c>
      <c r="E29" s="15" t="n">
        <f aca="false">$B6*$B7</f>
        <v>350000</v>
      </c>
      <c r="F29" s="15" t="n">
        <f aca="false">C29+D29+E29</f>
        <v>94447314.453125</v>
      </c>
      <c r="G29" s="16" t="n">
        <f aca="false">F29*$B10</f>
        <v>472236572.265625</v>
      </c>
      <c r="H29" s="17" t="str">
        <f aca="false">IF(F29&gt;=$B8,"TARGET HIT","")</f>
        <v>TARGET HIT</v>
      </c>
    </row>
    <row r="30" customFormat="false" ht="15" hidden="false" customHeight="true" outlineLevel="0" collapsed="false">
      <c r="A30" s="14" t="n">
        <v>12</v>
      </c>
      <c r="B30" s="14" t="n">
        <f aca="false">ROUND((12-1)*$B7,1)</f>
        <v>38.5</v>
      </c>
      <c r="C30" s="15" t="n">
        <f aca="false">F29</f>
        <v>94447314.453125</v>
      </c>
      <c r="D30" s="15" t="n">
        <f aca="false">C30*$B9</f>
        <v>47223657.2265625</v>
      </c>
      <c r="E30" s="15" t="n">
        <f aca="false">$B6*$B7</f>
        <v>350000</v>
      </c>
      <c r="F30" s="15" t="n">
        <f aca="false">C30+D30+E30</f>
        <v>142020971.679688</v>
      </c>
      <c r="G30" s="16" t="n">
        <f aca="false">F30*$B10</f>
        <v>710104858.398438</v>
      </c>
      <c r="H30" s="17" t="str">
        <f aca="false">IF(F30&gt;=$B8,"TARGET HIT","")</f>
        <v>TARGET HIT</v>
      </c>
    </row>
    <row r="31" customFormat="false" ht="15" hidden="false" customHeight="true" outlineLevel="0" collapsed="false">
      <c r="A31" s="14" t="n">
        <v>13</v>
      </c>
      <c r="B31" s="14" t="n">
        <f aca="false">ROUND((13-1)*$B7,1)</f>
        <v>42</v>
      </c>
      <c r="C31" s="15" t="n">
        <f aca="false">F30</f>
        <v>142020971.679688</v>
      </c>
      <c r="D31" s="15" t="n">
        <f aca="false">C31*$B9</f>
        <v>71010485.8398438</v>
      </c>
      <c r="E31" s="15" t="n">
        <f aca="false">$B6*$B7</f>
        <v>350000</v>
      </c>
      <c r="F31" s="15" t="n">
        <f aca="false">C31+D31+E31</f>
        <v>213381457.519531</v>
      </c>
      <c r="G31" s="16" t="n">
        <f aca="false">F31*$B10</f>
        <v>1066907287.59766</v>
      </c>
      <c r="H31" s="17" t="str">
        <f aca="false">IF(F31&gt;=$B8,"TARGET HIT","")</f>
        <v>TARGET HIT</v>
      </c>
    </row>
    <row r="32" customFormat="false" ht="15" hidden="false" customHeight="true" outlineLevel="0" collapsed="false">
      <c r="A32" s="14" t="n">
        <v>14</v>
      </c>
      <c r="B32" s="14" t="n">
        <f aca="false">ROUND((14-1)*$B7,1)</f>
        <v>45.5</v>
      </c>
      <c r="C32" s="15" t="n">
        <f aca="false">F31</f>
        <v>213381457.519531</v>
      </c>
      <c r="D32" s="15" t="n">
        <f aca="false">C32*$B9</f>
        <v>106690728.759766</v>
      </c>
      <c r="E32" s="15" t="n">
        <f aca="false">$B6*$B7</f>
        <v>350000</v>
      </c>
      <c r="F32" s="15" t="n">
        <f aca="false">C32+D32+E32</f>
        <v>320422186.279297</v>
      </c>
      <c r="G32" s="16" t="n">
        <f aca="false">F32*$B10</f>
        <v>1602110931.39648</v>
      </c>
      <c r="H32" s="17" t="str">
        <f aca="false">IF(F32&gt;=$B8,"TARGET HIT","")</f>
        <v>TARGET HIT</v>
      </c>
    </row>
    <row r="33" customFormat="false" ht="15" hidden="false" customHeight="true" outlineLevel="0" collapsed="false">
      <c r="A33" s="14" t="n">
        <v>15</v>
      </c>
      <c r="B33" s="14" t="n">
        <f aca="false">ROUND((15-1)*$B7,1)</f>
        <v>49</v>
      </c>
      <c r="C33" s="15" t="n">
        <f aca="false">F32</f>
        <v>320422186.279297</v>
      </c>
      <c r="D33" s="15" t="n">
        <f aca="false">C33*$B9</f>
        <v>160211093.139648</v>
      </c>
      <c r="E33" s="15" t="n">
        <f aca="false">$B6*$B7</f>
        <v>350000</v>
      </c>
      <c r="F33" s="15" t="n">
        <f aca="false">C33+D33+E33</f>
        <v>480983279.418945</v>
      </c>
      <c r="G33" s="16" t="n">
        <f aca="false">F33*$B10</f>
        <v>2404916397.09473</v>
      </c>
      <c r="H33" s="17" t="str">
        <f aca="false">IF(F33&gt;=$B8,"TARGET HIT","")</f>
        <v>TARGET HIT</v>
      </c>
    </row>
    <row r="35" customFormat="false" ht="15" hidden="false" customHeight="true" outlineLevel="0" collapsed="false">
      <c r="A35" s="18" t="s">
        <v>33</v>
      </c>
      <c r="B35" s="19" t="n">
        <f aca="false">IF(F33&lt;$B8,"15+ rungs - target not reached, adjust inputs",COUNTIF(F19:F33,"&lt;"&amp;$B8)+1)</f>
        <v>4</v>
      </c>
      <c r="C35" s="8" t="s">
        <v>34</v>
      </c>
      <c r="D35" s="19" t="n">
        <f aca="false">IF(F33&lt;$B8,"-",ROUND((COUNTIF(F19:F33,"&lt;"&amp;$B8)+1)*$B7,1))</f>
        <v>14</v>
      </c>
      <c r="E35" s="8" t="s">
        <v>35</v>
      </c>
      <c r="F35" s="20" t="n">
        <f aca="false">IF(F33&lt;$B8,"-",INDEX(F19:F33,COUNTIF(F19:F33,"&lt;"&amp;$B8)+1))</f>
        <v>4868750</v>
      </c>
      <c r="G35" s="8" t="s">
        <v>36</v>
      </c>
    </row>
    <row r="37" customFormat="false" ht="15" hidden="false" customHeight="true" outlineLevel="0" collapsed="false">
      <c r="A37" s="4" t="s">
        <v>37</v>
      </c>
    </row>
    <row r="38" customFormat="false" ht="15" hidden="false" customHeight="true" outlineLevel="0" collapsed="false">
      <c r="A38" s="4" t="s">
        <v>38</v>
      </c>
    </row>
  </sheetData>
  <conditionalFormatting sqref="A19:H33">
    <cfRule type="expression" priority="2" aboveAverage="0" equalAverage="0" bottom="0" percent="0" rank="0" text="" dxfId="0">
      <formula>$F19&gt;=$B$8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2026-08-07T06:49:59Z</dcterms:created>
  <dc:creator>openpyxl</dc:creator>
  <dc:description/>
  <dc:language>en-US</dc:language>
  <cp:lastModifiedBy/>
  <dcterms:modified xsi:type="dcterms:W3CDTF">2026-08-07T07:20:47Z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