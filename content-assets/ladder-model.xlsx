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dder 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<sst xmlns="http://schemas.openxmlformats.org/spreadsheetml/2006/main" count="38" uniqueCount="38">
  <si>
    <t xml:space="preserve">THE LADDER — 10+ Dubai Houses from £100K</t>
  </si>
  <si>
    <t xml:space="preserve">Flip-at-handover compounding model · ladder by ladder · all figures AED unless stated</t>
  </si>
  <si>
    <t xml:space="preserve">ASSUMPTIONS (edit blue cells)</t>
  </si>
  <si>
    <t xml:space="preserve">Unit launch price (Đ)</t>
  </si>
  <si>
    <t xml:space="preserve">User spec: Đ1M off-plan unit</t>
  </si>
  <si>
    <t xml:space="preserve">Payment plan — during construction</t>
  </si>
  <si>
    <t xml:space="preserve">50/50 plan: developer takes 50% pre-handover</t>
  </si>
  <si>
    <t xml:space="preserve">ROE per cycle at handover</t>
  </si>
  <si>
    <t xml:space="preserve">User spec 5 Aug: 100% ROE per 4yr cycle (Đ1M -&gt; Đ1.5M at handover). Indicative - anchor to live launch-vs-handover comps on camera.</t>
  </si>
  <si>
    <t xml:space="preserve">Cycle length (years)</t>
  </si>
  <si>
    <t xml:space="preserve">Launch to handover, indicative</t>
  </si>
  <si>
    <t xml:space="preserve">Starting equity (Đ)</t>
  </si>
  <si>
    <t xml:space="preserve">£100K at ~5 AED/£ (user spec)</t>
  </si>
  <si>
    <t xml:space="preserve">AED per GBP</t>
  </si>
  <si>
    <t xml:space="preserve">Indicative FX, user spec</t>
  </si>
  <si>
    <t xml:space="preserve">Selling costs per unit (Đ)</t>
  </si>
  <si>
    <t xml:space="preserve">Set to 0 for clean doubling narrative (transfer fee buyer-side; NOC/admin immaterial at this scale - mention verbally, keep maths clean)</t>
  </si>
  <si>
    <t xml:space="preserve">Stop rule: final ladder sells when units ≥</t>
  </si>
  <si>
    <t xml:space="preserve">User spec: build until selling 10+</t>
  </si>
  <si>
    <t xml:space="preserve">Ladder</t>
  </si>
  <si>
    <t xml:space="preserve">Years elapsed</t>
  </si>
  <si>
    <t xml:space="preserve">Equity In (Đ)</t>
  </si>
  <si>
    <t xml:space="preserve">Units Bought</t>
  </si>
  <si>
    <t xml:space="preserve">Equity Deployed (Đ)</t>
  </si>
  <si>
    <t xml:space="preserve">Carry (Đ)</t>
  </si>
  <si>
    <t xml:space="preserve">Value per Unit at Handover (Đ)</t>
  </si>
  <si>
    <t xml:space="preserve">Equity Out per Unit (Đ)</t>
  </si>
  <si>
    <t xml:space="preserve">Sale Proceeds + Carry (Đ)</t>
  </si>
  <si>
    <t xml:space="preserve">£ Equivalent</t>
  </si>
  <si>
    <t xml:space="preserve">Units Held to Sell</t>
  </si>
  <si>
    <t xml:space="preserve">Rails: all growth figures indicative; not financial advice; model ignores rental income during cycles (upside not counted) and assumes non-overlapping cycles (conservative on time).</t>
  </si>
  <si>
    <t xml:space="preserve">FINAL CASH-OUT (last ladder sells ALL units)</t>
  </si>
  <si>
    <t xml:space="preserve">AED</t>
  </si>
  <si>
    <t xml:space="preserve">In GBP</t>
  </si>
  <si>
    <t xml:space="preserve">Multiple on original £100K</t>
  </si>
  <si>
    <t xml:space="preserve">Total years (non-overlapping cycles, indicative)</t>
  </si>
  <si>
    <t xml:space="preserve">Legend: BLUE/yellow cells = edit these. Everything else recalculates. Carry = equity below one whole unit, rolls into that ladder's proceeds.</t>
  </si>
  <si>
    <t xml:space="preserve">Rails: growth figures indicative, set from live launch-vs-handover comps; not financial advice; rental income during cycles NOT counted (pure upside); cycles modelled non-overlapping (conservative on time).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</si>
</sst>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%"/>
    <numFmt numFmtId="167" formatCode="\£#,##0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9A84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3D2F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E5A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03300"/>
      <rgbColor rgb="FF2E5A40"/>
      <rgbColor rgb="FF993300"/>
      <rgbColor rgb="FF993366"/>
      <rgbColor rgb="FF333399"/>
      <rgbColor rgb="FF1E3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5"/>
    <col collapsed="false" customWidth="true" hidden="false" outlineLevel="0" max="6" min="6" style="1" width="11"/>
    <col collapsed="false" customWidth="true" hidden="false" outlineLevel="0" max="7" min="7" style="1" width="16"/>
    <col collapsed="false" customWidth="true" hidden="false" outlineLevel="0" max="8" min="8" style="1" width="15"/>
    <col collapsed="false" customWidth="true" hidden="false" outlineLevel="0" max="9" min="9" style="1" width="17"/>
    <col collapsed="false" customWidth="true" hidden="false" outlineLevel="0" max="10" min="10" style="1" width="13"/>
    <col collapsed="false" customWidth="true" hidden="false" outlineLevel="0" max="11" min="11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1000000</v>
      </c>
      <c r="C5" s="7" t="s">
        <v>4</v>
      </c>
    </row>
    <row r="6" customFormat="false" ht="15" hidden="false" customHeight="true" outlineLevel="0" collapsed="false">
      <c r="A6" s="5" t="s">
        <v>5</v>
      </c>
      <c r="B6" s="8" t="n">
        <v>0.5</v>
      </c>
      <c r="C6" s="7" t="s">
        <v>6</v>
      </c>
    </row>
    <row r="7" customFormat="false" ht="15" hidden="false" customHeight="true" outlineLevel="0" collapsed="false">
      <c r="A7" s="5" t="s">
        <v>7</v>
      </c>
      <c r="B7" s="8" t="n">
        <v>1</v>
      </c>
      <c r="C7" s="7" t="s">
        <v>8</v>
      </c>
    </row>
    <row r="8" customFormat="false" ht="15" hidden="false" customHeight="true" outlineLevel="0" collapsed="false">
      <c r="A8" s="5" t="s">
        <v>9</v>
      </c>
      <c r="B8" s="6" t="n">
        <v>4</v>
      </c>
      <c r="C8" s="7" t="s">
        <v>10</v>
      </c>
    </row>
    <row r="9" customFormat="false" ht="15" hidden="false" customHeight="true" outlineLevel="0" collapsed="false">
      <c r="A9" s="5" t="s">
        <v>11</v>
      </c>
      <c r="B9" s="6" t="n">
        <v>500000</v>
      </c>
      <c r="C9" s="7" t="s">
        <v>12</v>
      </c>
    </row>
    <row r="10" customFormat="false" ht="15" hidden="false" customHeight="true" outlineLevel="0" collapsed="false">
      <c r="A10" s="5" t="s">
        <v>13</v>
      </c>
      <c r="B10" s="6" t="n">
        <v>5</v>
      </c>
      <c r="C10" s="7" t="s">
        <v>14</v>
      </c>
    </row>
    <row r="11" customFormat="false" ht="15" hidden="false" customHeight="true" outlineLevel="0" collapsed="false">
      <c r="A11" s="5" t="s">
        <v>15</v>
      </c>
      <c r="B11" s="6" t="n">
        <v>0</v>
      </c>
      <c r="C11" s="7" t="s">
        <v>16</v>
      </c>
    </row>
    <row r="12" customFormat="false" ht="15" hidden="false" customHeight="true" outlineLevel="0" collapsed="false">
      <c r="A12" s="5" t="s">
        <v>17</v>
      </c>
      <c r="B12" s="6" t="n">
        <v>10</v>
      </c>
      <c r="C12" s="7" t="s">
        <v>18</v>
      </c>
    </row>
    <row r="14" customFormat="false" ht="23.25" hidden="false" customHeight="true" outlineLevel="0" collapsed="false">
      <c r="A14" s="9" t="s">
        <v>19</v>
      </c>
      <c r="B14" s="9" t="s">
        <v>20</v>
      </c>
      <c r="C14" s="9" t="s">
        <v>21</v>
      </c>
      <c r="D14" s="9" t="s">
        <v>22</v>
      </c>
      <c r="E14" s="9" t="s">
        <v>23</v>
      </c>
      <c r="F14" s="9" t="s">
        <v>24</v>
      </c>
      <c r="G14" s="9" t="s">
        <v>25</v>
      </c>
      <c r="H14" s="9" t="s">
        <v>26</v>
      </c>
      <c r="I14" s="9" t="s">
        <v>27</v>
      </c>
      <c r="J14" s="9" t="s">
        <v>28</v>
      </c>
      <c r="K14" s="9" t="s">
        <v>29</v>
      </c>
    </row>
    <row r="15" customFormat="false" ht="15" hidden="false" customHeight="true" outlineLevel="0" collapsed="false">
      <c r="A15" s="4" t="n">
        <v>1</v>
      </c>
      <c r="B15" s="10" t="n">
        <f aca="false">A15*$B$8</f>
        <v>4</v>
      </c>
      <c r="C15" s="10" t="n">
        <f aca="false">$B$9</f>
        <v>500000</v>
      </c>
      <c r="D15" s="10" t="n">
        <f aca="false">FLOOR(C15/($B$5*$B$6),1)</f>
        <v>1</v>
      </c>
      <c r="E15" s="10" t="n">
        <f aca="false">D15*($B$5*$B$6)</f>
        <v>500000</v>
      </c>
      <c r="F15" s="10" t="n">
        <f aca="false">C15-E15</f>
        <v>0</v>
      </c>
      <c r="G15" s="10" t="n">
        <f aca="false">($B$5+$B$7*($B$5*$B$6))</f>
        <v>1500000</v>
      </c>
      <c r="H15" s="10" t="n">
        <f aca="false">(($B$5+$B$7*($B$5*$B$6))-($B$5-($B$5*$B$6))-$B$11)</f>
        <v>1000000</v>
      </c>
      <c r="I15" s="10" t="n">
        <f aca="false">D15*H15+F15</f>
        <v>1000000</v>
      </c>
      <c r="J15" s="10" t="n">
        <f aca="false">I15/$B$10</f>
        <v>200000</v>
      </c>
      <c r="K15" s="10" t="n">
        <f aca="false">D15</f>
        <v>1</v>
      </c>
    </row>
    <row r="16" customFormat="false" ht="15" hidden="false" customHeight="true" outlineLevel="0" collapsed="false">
      <c r="A16" s="4" t="n">
        <v>2</v>
      </c>
      <c r="B16" s="10" t="n">
        <f aca="false">A16*$B$8</f>
        <v>8</v>
      </c>
      <c r="C16" s="10" t="n">
        <f aca="false">I15</f>
        <v>1000000</v>
      </c>
      <c r="D16" s="10" t="n">
        <f aca="false">FLOOR(C16/($B$5*$B$6),1)</f>
        <v>2</v>
      </c>
      <c r="E16" s="10" t="n">
        <f aca="false">D16*($B$5*$B$6)</f>
        <v>1000000</v>
      </c>
      <c r="F16" s="10" t="n">
        <f aca="false">C16-E16</f>
        <v>0</v>
      </c>
      <c r="G16" s="10" t="n">
        <f aca="false">($B$5+$B$7*($B$5*$B$6))</f>
        <v>1500000</v>
      </c>
      <c r="H16" s="10" t="n">
        <f aca="false">(($B$5+$B$7*($B$5*$B$6))-($B$5-($B$5*$B$6))-$B$11)</f>
        <v>1000000</v>
      </c>
      <c r="I16" s="10" t="n">
        <f aca="false">D16*H16+F16</f>
        <v>2000000</v>
      </c>
      <c r="J16" s="10" t="n">
        <f aca="false">I16/$B$10</f>
        <v>400000</v>
      </c>
      <c r="K16" s="10" t="n">
        <f aca="false">D16</f>
        <v>2</v>
      </c>
    </row>
    <row r="17" customFormat="false" ht="15" hidden="false" customHeight="true" outlineLevel="0" collapsed="false">
      <c r="A17" s="4" t="n">
        <v>3</v>
      </c>
      <c r="B17" s="10" t="n">
        <f aca="false">A17*$B$8</f>
        <v>12</v>
      </c>
      <c r="C17" s="10" t="n">
        <f aca="false">I16</f>
        <v>2000000</v>
      </c>
      <c r="D17" s="10" t="n">
        <f aca="false">FLOOR(C17/($B$5*$B$6),1)</f>
        <v>4</v>
      </c>
      <c r="E17" s="10" t="n">
        <f aca="false">D17*($B$5*$B$6)</f>
        <v>2000000</v>
      </c>
      <c r="F17" s="10" t="n">
        <f aca="false">C17-E17</f>
        <v>0</v>
      </c>
      <c r="G17" s="10" t="n">
        <f aca="false">($B$5+$B$7*($B$5*$B$6))</f>
        <v>1500000</v>
      </c>
      <c r="H17" s="10" t="n">
        <f aca="false">(($B$5+$B$7*($B$5*$B$6))-($B$5-($B$5*$B$6))-$B$11)</f>
        <v>1000000</v>
      </c>
      <c r="I17" s="10" t="n">
        <f aca="false">D17*H17+F17</f>
        <v>4000000</v>
      </c>
      <c r="J17" s="10" t="n">
        <f aca="false">I17/$B$10</f>
        <v>800000</v>
      </c>
      <c r="K17" s="10" t="n">
        <f aca="false">D17</f>
        <v>4</v>
      </c>
    </row>
    <row r="18" customFormat="false" ht="15" hidden="false" customHeight="true" outlineLevel="0" collapsed="false">
      <c r="A18" s="4" t="n">
        <v>4</v>
      </c>
      <c r="B18" s="10" t="n">
        <f aca="false">A18*$B$8</f>
        <v>16</v>
      </c>
      <c r="C18" s="10" t="n">
        <f aca="false">I17</f>
        <v>4000000</v>
      </c>
      <c r="D18" s="10" t="n">
        <f aca="false">FLOOR(C18/($B$5*$B$6),1)</f>
        <v>8</v>
      </c>
      <c r="E18" s="10" t="n">
        <f aca="false">D18*($B$5*$B$6)</f>
        <v>4000000</v>
      </c>
      <c r="F18" s="10" t="n">
        <f aca="false">C18-E18</f>
        <v>0</v>
      </c>
      <c r="G18" s="10" t="n">
        <f aca="false">($B$5+$B$7*($B$5*$B$6))</f>
        <v>1500000</v>
      </c>
      <c r="H18" s="10" t="n">
        <f aca="false">(($B$5+$B$7*($B$5*$B$6))-($B$5-($B$5*$B$6))-$B$11)</f>
        <v>1000000</v>
      </c>
      <c r="I18" s="10" t="n">
        <f aca="false">D18*H18+F18</f>
        <v>8000000</v>
      </c>
      <c r="J18" s="10" t="n">
        <f aca="false">I18/$B$10</f>
        <v>1600000</v>
      </c>
      <c r="K18" s="10" t="n">
        <f aca="false">D18</f>
        <v>8</v>
      </c>
    </row>
    <row r="19" customFormat="false" ht="15" hidden="false" customHeight="true" outlineLevel="0" collapsed="false">
      <c r="A19" s="4" t="n">
        <v>5</v>
      </c>
      <c r="B19" s="10" t="n">
        <f aca="false">A19*$B$8</f>
        <v>20</v>
      </c>
      <c r="C19" s="10" t="n">
        <f aca="false">I18</f>
        <v>8000000</v>
      </c>
      <c r="D19" s="10" t="n">
        <f aca="false">FLOOR(C19/($B$5*$B$6),1)</f>
        <v>16</v>
      </c>
      <c r="E19" s="10" t="n">
        <f aca="false">D19*($B$5*$B$6)</f>
        <v>8000000</v>
      </c>
      <c r="F19" s="10" t="n">
        <f aca="false">C19-E19</f>
        <v>0</v>
      </c>
      <c r="G19" s="10" t="n">
        <f aca="false">($B$5+$B$7*($B$5*$B$6))</f>
        <v>1500000</v>
      </c>
      <c r="H19" s="10" t="n">
        <f aca="false">(($B$5+$B$7*($B$5*$B$6))-($B$5-($B$5*$B$6))-$B$11)</f>
        <v>1000000</v>
      </c>
      <c r="I19" s="10" t="n">
        <f aca="false">D19*H19+F19</f>
        <v>16000000</v>
      </c>
      <c r="J19" s="10" t="n">
        <f aca="false">I19/$B$10</f>
        <v>3200000</v>
      </c>
      <c r="K19" s="10" t="n">
        <f aca="false">D19</f>
        <v>16</v>
      </c>
    </row>
    <row r="20" customFormat="false" ht="15" hidden="false" customHeight="true" outlineLevel="0" collapsed="false">
      <c r="A20" s="4" t="n">
        <v>6</v>
      </c>
      <c r="B20" s="10" t="n">
        <f aca="false">A20*$B$8</f>
        <v>24</v>
      </c>
      <c r="C20" s="10" t="n">
        <f aca="false">I19</f>
        <v>16000000</v>
      </c>
      <c r="D20" s="10" t="n">
        <f aca="false">FLOOR(C20/($B$5*$B$6),1)</f>
        <v>32</v>
      </c>
      <c r="E20" s="10" t="n">
        <f aca="false">D20*($B$5*$B$6)</f>
        <v>16000000</v>
      </c>
      <c r="F20" s="10" t="n">
        <f aca="false">C20-E20</f>
        <v>0</v>
      </c>
      <c r="G20" s="10" t="n">
        <f aca="false">($B$5+$B$7*($B$5*$B$6))</f>
        <v>1500000</v>
      </c>
      <c r="H20" s="10" t="n">
        <f aca="false">(($B$5+$B$7*($B$5*$B$6))-($B$5-($B$5*$B$6))-$B$11)</f>
        <v>1000000</v>
      </c>
      <c r="I20" s="10" t="n">
        <f aca="false">D20*H20+F20</f>
        <v>32000000</v>
      </c>
      <c r="J20" s="10" t="n">
        <f aca="false">I20/$B$10</f>
        <v>6400000</v>
      </c>
      <c r="K20" s="10" t="n">
        <f aca="false">D20</f>
        <v>32</v>
      </c>
    </row>
    <row r="21" customFormat="false" ht="15" hidden="false" customHeight="true" outlineLevel="0" collapsed="false">
      <c r="A21" s="4" t="n">
        <v>7</v>
      </c>
      <c r="B21" s="10" t="n">
        <f aca="false">A21*$B$8</f>
        <v>28</v>
      </c>
      <c r="C21" s="10" t="n">
        <f aca="false">I20</f>
        <v>32000000</v>
      </c>
      <c r="D21" s="10" t="n">
        <f aca="false">FLOOR(C21/($B$5*$B$6),1)</f>
        <v>64</v>
      </c>
      <c r="E21" s="10" t="n">
        <f aca="false">D21*($B$5*$B$6)</f>
        <v>32000000</v>
      </c>
      <c r="F21" s="10" t="n">
        <f aca="false">C21-E21</f>
        <v>0</v>
      </c>
      <c r="G21" s="10" t="n">
        <f aca="false">($B$5+$B$7*($B$5*$B$6))</f>
        <v>1500000</v>
      </c>
      <c r="H21" s="10" t="n">
        <f aca="false">(($B$5+$B$7*($B$5*$B$6))-($B$5-($B$5*$B$6))-$B$11)</f>
        <v>1000000</v>
      </c>
      <c r="I21" s="10" t="n">
        <f aca="false">D21*H21+F21</f>
        <v>64000000</v>
      </c>
      <c r="J21" s="10" t="n">
        <f aca="false">I21/$B$10</f>
        <v>12800000</v>
      </c>
      <c r="K21" s="10" t="n">
        <f aca="false">D21</f>
        <v>64</v>
      </c>
    </row>
    <row r="22" customFormat="false" ht="15" hidden="false" customHeight="true" outlineLevel="0" collapsed="false">
      <c r="A22" s="4" t="n">
        <v>8</v>
      </c>
      <c r="B22" s="10" t="n">
        <f aca="false">A22*$B$8</f>
        <v>32</v>
      </c>
      <c r="C22" s="10" t="n">
        <f aca="false">I21</f>
        <v>64000000</v>
      </c>
      <c r="D22" s="10" t="n">
        <f aca="false">FLOOR(C22/($B$5*$B$6),1)</f>
        <v>128</v>
      </c>
      <c r="E22" s="10" t="n">
        <f aca="false">D22*($B$5*$B$6)</f>
        <v>64000000</v>
      </c>
      <c r="F22" s="10" t="n">
        <f aca="false">C22-E22</f>
        <v>0</v>
      </c>
      <c r="G22" s="10" t="n">
        <f aca="false">($B$5+$B$7*($B$5*$B$6))</f>
        <v>1500000</v>
      </c>
      <c r="H22" s="10" t="n">
        <f aca="false">(($B$5+$B$7*($B$5*$B$6))-($B$5-($B$5*$B$6))-$B$11)</f>
        <v>1000000</v>
      </c>
      <c r="I22" s="10" t="n">
        <f aca="false">D22*H22+F22</f>
        <v>128000000</v>
      </c>
      <c r="J22" s="10" t="n">
        <f aca="false">I22/$B$10</f>
        <v>25600000</v>
      </c>
      <c r="K22" s="10" t="n">
        <f aca="false">D22</f>
        <v>128</v>
      </c>
    </row>
    <row r="23" customFormat="false" ht="15" hidden="false" customHeight="true" outlineLevel="0" collapsed="false">
      <c r="A23" s="4" t="n">
        <v>9</v>
      </c>
      <c r="B23" s="10" t="n">
        <f aca="false">A23*$B$8</f>
        <v>36</v>
      </c>
      <c r="C23" s="10" t="n">
        <f aca="false">I22</f>
        <v>128000000</v>
      </c>
      <c r="D23" s="10" t="n">
        <f aca="false">FLOOR(C23/($B$5*$B$6),1)</f>
        <v>256</v>
      </c>
      <c r="E23" s="10" t="n">
        <f aca="false">D23*($B$5*$B$6)</f>
        <v>128000000</v>
      </c>
      <c r="F23" s="10" t="n">
        <f aca="false">C23-E23</f>
        <v>0</v>
      </c>
      <c r="G23" s="10" t="n">
        <f aca="false">($B$5+$B$7*($B$5*$B$6))</f>
        <v>1500000</v>
      </c>
      <c r="H23" s="10" t="n">
        <f aca="false">(($B$5+$B$7*($B$5*$B$6))-($B$5-($B$5*$B$6))-$B$11)</f>
        <v>1000000</v>
      </c>
      <c r="I23" s="10" t="n">
        <f aca="false">D23*H23+F23</f>
        <v>256000000</v>
      </c>
      <c r="J23" s="10" t="n">
        <f aca="false">I23/$B$10</f>
        <v>51200000</v>
      </c>
      <c r="K23" s="10" t="n">
        <f aca="false">D23</f>
        <v>256</v>
      </c>
    </row>
    <row r="24" customFormat="false" ht="15" hidden="false" customHeight="true" outlineLevel="0" collapsed="false">
      <c r="A24" s="7" t="s">
        <v>30</v>
      </c>
    </row>
    <row r="25" customFormat="false" ht="15" hidden="false" customHeight="true" outlineLevel="0" collapsed="false">
      <c r="A25" s="4" t="s">
        <v>31</v>
      </c>
      <c r="C25" s="11" t="n">
        <f aca="false">I23</f>
        <v>256000000</v>
      </c>
      <c r="D25" s="5" t="s">
        <v>32</v>
      </c>
    </row>
    <row r="26" customFormat="false" ht="15" hidden="false" customHeight="true" outlineLevel="0" collapsed="false">
      <c r="A26" s="4" t="s">
        <v>33</v>
      </c>
      <c r="C26" s="12" t="n">
        <f aca="false">I23/$B$10</f>
        <v>51200000</v>
      </c>
    </row>
    <row r="27" customFormat="false" ht="15" hidden="false" customHeight="true" outlineLevel="0" collapsed="false">
      <c r="A27" s="4" t="s">
        <v>34</v>
      </c>
      <c r="B27" s="13"/>
      <c r="C27" s="14" t="n">
        <f aca="false">(I23/$B$10)/($B$9/$B$10)</f>
        <v>512</v>
      </c>
    </row>
    <row r="28" customFormat="false" ht="15" hidden="false" customHeight="true" outlineLevel="0" collapsed="false">
      <c r="A28" s="5" t="s">
        <v>35</v>
      </c>
      <c r="C28" s="15" t="n">
        <f aca="false">B23</f>
        <v>36</v>
      </c>
    </row>
    <row r="29" customFormat="false" ht="15" hidden="false" customHeight="true" outlineLevel="0" collapsed="false"/>
    <row r="30" customFormat="false" ht="15" hidden="false" customHeight="true" outlineLevel="0" collapsed="false">
      <c r="A30" s="7" t="s">
        <v>36</v>
      </c>
    </row>
    <row r="31" customFormat="false" ht="15" hidden="false" customHeight="true" outlineLevel="0" collapsed="false">
      <c r="A31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2026-08-06T04:47:35Z</dcterms:created>
  <dc:creator>openpyxl</dc:creator>
  <dc:description/>
  <dc:language>en-US</dc:language>
  <cp:lastModifiedBy/>
  <dcterms:modified xsi:type="dcterms:W3CDTF">2026-08-06T04:57:49Z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